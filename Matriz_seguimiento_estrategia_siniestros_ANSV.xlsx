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DIRECTORA ENCARGADA\SINIESTROS VIALES\PASTO 20-09-2026\"/>
    </mc:Choice>
  </mc:AlternateContent>
  <xr:revisionPtr revIDLastSave="0" documentId="8_{F6D898B6-D088-436B-81BF-A1FE81F8E1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" sheetId="1" r:id="rId1"/>
    <sheet name="Seguimiento proceso" sheetId="2" r:id="rId2"/>
    <sheet name="Indicadores" sheetId="3" r:id="rId3"/>
    <sheet name="Recaudo información" sheetId="4" r:id="rId4"/>
    <sheet name="Expediente únic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6" i="3" l="1"/>
  <c r="R106" i="3" s="1"/>
  <c r="P105" i="3"/>
  <c r="R105" i="3" s="1"/>
  <c r="P104" i="3"/>
  <c r="R104" i="3" s="1"/>
  <c r="P103" i="3"/>
  <c r="R103" i="3" s="1"/>
  <c r="P102" i="3"/>
  <c r="R102" i="3" s="1"/>
  <c r="P101" i="3"/>
  <c r="R101" i="3" s="1"/>
  <c r="P100" i="3"/>
  <c r="R100" i="3" s="1"/>
  <c r="P99" i="3"/>
  <c r="R99" i="3" s="1"/>
  <c r="R98" i="3"/>
  <c r="P98" i="3"/>
  <c r="P97" i="3"/>
  <c r="R97" i="3" s="1"/>
  <c r="P96" i="3"/>
  <c r="R96" i="3" s="1"/>
  <c r="R95" i="3"/>
  <c r="P95" i="3"/>
  <c r="P94" i="3"/>
  <c r="R94" i="3" s="1"/>
  <c r="P93" i="3"/>
  <c r="R93" i="3" s="1"/>
  <c r="R92" i="3"/>
  <c r="P92" i="3"/>
  <c r="P91" i="3"/>
  <c r="R91" i="3" s="1"/>
  <c r="P90" i="3"/>
  <c r="R90" i="3" s="1"/>
  <c r="R89" i="3"/>
  <c r="P89" i="3"/>
  <c r="P88" i="3"/>
  <c r="R88" i="3" s="1"/>
  <c r="P87" i="3"/>
  <c r="R87" i="3" s="1"/>
  <c r="R86" i="3"/>
  <c r="P86" i="3"/>
  <c r="P85" i="3"/>
  <c r="R85" i="3" s="1"/>
  <c r="P84" i="3"/>
  <c r="R84" i="3" s="1"/>
  <c r="R83" i="3"/>
  <c r="P83" i="3"/>
  <c r="P82" i="3"/>
  <c r="R82" i="3" s="1"/>
  <c r="P81" i="3"/>
  <c r="R81" i="3" s="1"/>
  <c r="R80" i="3"/>
  <c r="P80" i="3"/>
  <c r="P79" i="3"/>
  <c r="R79" i="3" s="1"/>
  <c r="P78" i="3"/>
  <c r="R78" i="3" s="1"/>
  <c r="R77" i="3"/>
  <c r="P77" i="3"/>
  <c r="P76" i="3"/>
  <c r="R76" i="3" s="1"/>
  <c r="P75" i="3"/>
  <c r="R75" i="3" s="1"/>
  <c r="R74" i="3"/>
  <c r="P74" i="3"/>
  <c r="P73" i="3"/>
  <c r="R73" i="3" s="1"/>
  <c r="P72" i="3"/>
  <c r="R72" i="3" s="1"/>
  <c r="R71" i="3"/>
  <c r="P71" i="3"/>
  <c r="P70" i="3"/>
  <c r="R70" i="3" s="1"/>
  <c r="P69" i="3"/>
  <c r="R69" i="3" s="1"/>
  <c r="R68" i="3"/>
  <c r="P68" i="3"/>
  <c r="P67" i="3"/>
  <c r="R67" i="3" s="1"/>
  <c r="P66" i="3"/>
  <c r="R66" i="3" s="1"/>
  <c r="R65" i="3"/>
  <c r="P65" i="3"/>
  <c r="P64" i="3"/>
  <c r="R64" i="3" s="1"/>
  <c r="P63" i="3"/>
  <c r="R63" i="3" s="1"/>
  <c r="R62" i="3"/>
  <c r="P62" i="3"/>
  <c r="P61" i="3"/>
  <c r="R61" i="3" s="1"/>
  <c r="P60" i="3"/>
  <c r="R60" i="3" s="1"/>
  <c r="R59" i="3"/>
  <c r="P59" i="3"/>
  <c r="P58" i="3"/>
  <c r="R58" i="3" s="1"/>
  <c r="P57" i="3"/>
  <c r="R57" i="3" s="1"/>
  <c r="R56" i="3"/>
  <c r="P56" i="3"/>
  <c r="P55" i="3"/>
  <c r="R55" i="3" s="1"/>
  <c r="P54" i="3"/>
  <c r="R54" i="3" s="1"/>
  <c r="R53" i="3"/>
  <c r="P53" i="3"/>
  <c r="P52" i="3"/>
  <c r="R52" i="3" s="1"/>
  <c r="P51" i="3"/>
  <c r="R51" i="3" s="1"/>
  <c r="R50" i="3"/>
  <c r="P50" i="3"/>
  <c r="P49" i="3"/>
  <c r="R49" i="3" s="1"/>
  <c r="P48" i="3"/>
  <c r="R48" i="3" s="1"/>
  <c r="R47" i="3"/>
  <c r="P47" i="3"/>
  <c r="P46" i="3"/>
  <c r="R46" i="3" s="1"/>
  <c r="P45" i="3"/>
  <c r="R45" i="3" s="1"/>
  <c r="R44" i="3"/>
  <c r="P44" i="3"/>
  <c r="P43" i="3"/>
  <c r="R43" i="3" s="1"/>
  <c r="P42" i="3"/>
  <c r="R42" i="3" s="1"/>
  <c r="R41" i="3"/>
  <c r="P41" i="3"/>
  <c r="P40" i="3"/>
  <c r="R40" i="3" s="1"/>
  <c r="P39" i="3"/>
  <c r="R39" i="3" s="1"/>
  <c r="R38" i="3"/>
  <c r="P38" i="3"/>
  <c r="P37" i="3"/>
  <c r="R37" i="3" s="1"/>
  <c r="P36" i="3"/>
  <c r="R36" i="3" s="1"/>
  <c r="R35" i="3"/>
  <c r="P35" i="3"/>
  <c r="P34" i="3"/>
  <c r="R34" i="3" s="1"/>
  <c r="P33" i="3"/>
  <c r="R33" i="3" s="1"/>
  <c r="R32" i="3"/>
  <c r="P32" i="3"/>
  <c r="P31" i="3"/>
  <c r="R31" i="3" s="1"/>
  <c r="P30" i="3"/>
  <c r="R30" i="3" s="1"/>
  <c r="R29" i="3"/>
  <c r="P29" i="3"/>
  <c r="P28" i="3"/>
  <c r="R28" i="3" s="1"/>
  <c r="P27" i="3"/>
  <c r="R27" i="3" s="1"/>
  <c r="R26" i="3"/>
  <c r="P26" i="3"/>
  <c r="P25" i="3"/>
  <c r="R25" i="3" s="1"/>
  <c r="P24" i="3"/>
  <c r="R24" i="3" s="1"/>
  <c r="R23" i="3"/>
  <c r="P23" i="3"/>
  <c r="P22" i="3"/>
  <c r="R22" i="3" s="1"/>
  <c r="P21" i="3"/>
  <c r="R21" i="3" s="1"/>
  <c r="R20" i="3"/>
  <c r="P20" i="3"/>
  <c r="P19" i="3"/>
  <c r="R19" i="3" s="1"/>
  <c r="P18" i="3"/>
  <c r="R18" i="3" s="1"/>
  <c r="R17" i="3"/>
  <c r="P17" i="3"/>
  <c r="P16" i="3"/>
  <c r="R16" i="3" s="1"/>
  <c r="P15" i="3"/>
  <c r="R15" i="3" s="1"/>
  <c r="R14" i="3"/>
  <c r="P14" i="3"/>
  <c r="P13" i="3"/>
  <c r="R13" i="3" s="1"/>
  <c r="P12" i="3"/>
  <c r="R12" i="3" s="1"/>
  <c r="R11" i="3"/>
  <c r="P11" i="3"/>
  <c r="P10" i="3"/>
  <c r="R10" i="3" s="1"/>
  <c r="P9" i="3"/>
  <c r="R9" i="3" s="1"/>
  <c r="R8" i="3"/>
  <c r="P8" i="3"/>
  <c r="P7" i="3"/>
  <c r="R7" i="3" s="1"/>
  <c r="H7" i="1" s="1"/>
  <c r="P106" i="2"/>
  <c r="O106" i="2"/>
  <c r="P105" i="2"/>
  <c r="O105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8" i="2"/>
  <c r="O98" i="2"/>
  <c r="P97" i="2"/>
  <c r="O97" i="2"/>
  <c r="P96" i="2"/>
  <c r="O96" i="2"/>
  <c r="P95" i="2"/>
  <c r="O95" i="2"/>
  <c r="P94" i="2"/>
  <c r="O94" i="2"/>
  <c r="P93" i="2"/>
  <c r="O93" i="2"/>
  <c r="P92" i="2"/>
  <c r="O92" i="2"/>
  <c r="P91" i="2"/>
  <c r="O91" i="2"/>
  <c r="P90" i="2"/>
  <c r="O90" i="2"/>
  <c r="P89" i="2"/>
  <c r="O89" i="2"/>
  <c r="P88" i="2"/>
  <c r="O88" i="2"/>
  <c r="P87" i="2"/>
  <c r="O87" i="2"/>
  <c r="P86" i="2"/>
  <c r="O86" i="2"/>
  <c r="P85" i="2"/>
  <c r="O85" i="2"/>
  <c r="P84" i="2"/>
  <c r="O84" i="2"/>
  <c r="P83" i="2"/>
  <c r="O83" i="2"/>
  <c r="P82" i="2"/>
  <c r="O82" i="2"/>
  <c r="P81" i="2"/>
  <c r="O81" i="2"/>
  <c r="P80" i="2"/>
  <c r="O80" i="2"/>
  <c r="P79" i="2"/>
  <c r="O79" i="2"/>
  <c r="P78" i="2"/>
  <c r="O78" i="2"/>
  <c r="P77" i="2"/>
  <c r="O77" i="2"/>
  <c r="P76" i="2"/>
  <c r="O76" i="2"/>
  <c r="P75" i="2"/>
  <c r="O75" i="2"/>
  <c r="P74" i="2"/>
  <c r="O74" i="2"/>
  <c r="P73" i="2"/>
  <c r="O73" i="2"/>
  <c r="P72" i="2"/>
  <c r="O72" i="2"/>
  <c r="P71" i="2"/>
  <c r="O71" i="2"/>
  <c r="P70" i="2"/>
  <c r="O70" i="2"/>
  <c r="P69" i="2"/>
  <c r="O69" i="2"/>
  <c r="P68" i="2"/>
  <c r="O68" i="2"/>
  <c r="P67" i="2"/>
  <c r="O67" i="2"/>
  <c r="P66" i="2"/>
  <c r="O66" i="2"/>
  <c r="P65" i="2"/>
  <c r="O65" i="2"/>
  <c r="P64" i="2"/>
  <c r="O64" i="2"/>
  <c r="P63" i="2"/>
  <c r="O63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3" i="2"/>
  <c r="O53" i="2"/>
  <c r="P52" i="2"/>
  <c r="O52" i="2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K7" i="1"/>
  <c r="E7" i="1"/>
  <c r="B7" i="1"/>
</calcChain>
</file>

<file path=xl/sharedStrings.xml><?xml version="1.0" encoding="utf-8"?>
<sst xmlns="http://schemas.openxmlformats.org/spreadsheetml/2006/main" count="877" uniqueCount="481">
  <si>
    <t>Tablero de seguimiento de la estrategia ANSV</t>
  </si>
  <si>
    <t>Control del proceso, indicadores, recaudo de información y expediente analítico único</t>
  </si>
  <si>
    <t>Indicador ejecutivo</t>
  </si>
  <si>
    <t>Valor</t>
  </si>
  <si>
    <t>Actividades registradas</t>
  </si>
  <si>
    <t>Actividades vencidas</t>
  </si>
  <si>
    <t>Indicadores en alerta</t>
  </si>
  <si>
    <t>Expediente completo</t>
  </si>
  <si>
    <t>Ruta de control institucional</t>
  </si>
  <si>
    <t>Fase</t>
  </si>
  <si>
    <t>Plazo máximo</t>
  </si>
  <si>
    <t>Liderazgo</t>
  </si>
  <si>
    <t>Producto de salida</t>
  </si>
  <si>
    <t>Decisión habilitada</t>
  </si>
  <si>
    <t>Control clave</t>
  </si>
  <si>
    <t>1. Activación</t>
  </si>
  <si>
    <t>0–24 horas</t>
  </si>
  <si>
    <t>Dirección General / DCI</t>
  </si>
  <si>
    <t>Ficha inicial</t>
  </si>
  <si>
    <t>Activar, priorizar o monitorear</t>
  </si>
  <si>
    <t>Líder y nivel de alerta definidos</t>
  </si>
  <si>
    <t>2. Información y preservación</t>
  </si>
  <si>
    <t>0–72 horas</t>
  </si>
  <si>
    <t>DCI / ONSV / áreas técnicas</t>
  </si>
  <si>
    <t>Matriz de requerimientos</t>
  </si>
  <si>
    <t>Solicitar información y preservar evidencia</t>
  </si>
  <si>
    <t>Fuentes, reserva y custodio identificados</t>
  </si>
  <si>
    <t>3. Mesa técnica</t>
  </si>
  <si>
    <t>Hasta 7 días</t>
  </si>
  <si>
    <t>DCI</t>
  </si>
  <si>
    <t>Acta, RACI y compromisos</t>
  </si>
  <si>
    <t>Asignar responsables y plazos</t>
  </si>
  <si>
    <t>Aceptación expresa de responsables</t>
  </si>
  <si>
    <t>4. Análisis sistémico</t>
  </si>
  <si>
    <t>Hasta 30 días</t>
  </si>
  <si>
    <t>Equipo interdisciplinario</t>
  </si>
  <si>
    <t>Informe preliminar</t>
  </si>
  <si>
    <t>Priorizar recomendaciones y medidas</t>
  </si>
  <si>
    <t>Validación técnica y jurídica</t>
  </si>
  <si>
    <t>5. Seguimiento y cierre</t>
  </si>
  <si>
    <t>Hasta 90 días / cierre</t>
  </si>
  <si>
    <t>DCI / ONSV / responsables</t>
  </si>
  <si>
    <t>Tablero e informe final</t>
  </si>
  <si>
    <t>Escalar, cerrar o mantener seguimiento</t>
  </si>
  <si>
    <t>Evidencia de tratamiento y aprendizaje</t>
  </si>
  <si>
    <t>Reglas de uso</t>
  </si>
  <si>
    <t>1. Cada caso debe tener un código único y un líder institucional.
2. Los responsables actualizan fechas, evidencias y estados; DCI consolida y escala.
3. ONSV valida calidad y consistencia de los datos; OAJ revisa competencia, reserva y traslados.
4. Ningún riesgo crítico espera el cierre de una fase: se informa de inmediato a la Dirección General.</t>
  </si>
  <si>
    <t>Matriz de seguimiento del proceso</t>
  </si>
  <si>
    <t>Una fila por actividad, con RACI, fechas, avance, semáforo y evidencia</t>
  </si>
  <si>
    <t>ID</t>
  </si>
  <si>
    <t>Código del caso</t>
  </si>
  <si>
    <t>Actividad / hito</t>
  </si>
  <si>
    <t>Producto o evidencia</t>
  </si>
  <si>
    <t>R - Responsable</t>
  </si>
  <si>
    <t>A - Aprueba</t>
  </si>
  <si>
    <t>C - Consulta</t>
  </si>
  <si>
    <t>I - Informa</t>
  </si>
  <si>
    <t>Inicio previsto</t>
  </si>
  <si>
    <t>Fecha límite</t>
  </si>
  <si>
    <t>Fecha real</t>
  </si>
  <si>
    <t>Estado</t>
  </si>
  <si>
    <t>Avance %</t>
  </si>
  <si>
    <t>Días restantes</t>
  </si>
  <si>
    <t>Semáforo</t>
  </si>
  <si>
    <t>Ubicación evidencia</t>
  </si>
  <si>
    <t>Observaciones / decisión</t>
  </si>
  <si>
    <t>CASO-AAAA-001</t>
  </si>
  <si>
    <t>Registrar alerta y hechos esenciales</t>
  </si>
  <si>
    <t>DCI o líder designado</t>
  </si>
  <si>
    <t>Dirección General</t>
  </si>
  <si>
    <t>ONSV y áreas técnicas</t>
  </si>
  <si>
    <t>Equipo directivo</t>
  </si>
  <si>
    <t>No iniciado</t>
  </si>
  <si>
    <t>Valorar criterios y nivel de alerta</t>
  </si>
  <si>
    <t>Decisión de activación</t>
  </si>
  <si>
    <t>OAJ / ONSV</t>
  </si>
  <si>
    <t>Áreas involucradas</t>
  </si>
  <si>
    <t>Designar líder y equipo del caso</t>
  </si>
  <si>
    <t>Comunicación de designación</t>
  </si>
  <si>
    <t>Crear expediente y matriz de fuentes</t>
  </si>
  <si>
    <t>Expediente abierto</t>
  </si>
  <si>
    <t>Gestión documental / DCI</t>
  </si>
  <si>
    <t>OAJ / TIC</t>
  </si>
  <si>
    <t>ONSV</t>
  </si>
  <si>
    <t>Emitir oficios y requerimientos</t>
  </si>
  <si>
    <t>Oficios radicados</t>
  </si>
  <si>
    <t>Dirección DCI</t>
  </si>
  <si>
    <t>OAJ / áreas técnicas</t>
  </si>
  <si>
    <t>Preservar videos, datos y registros</t>
  </si>
  <si>
    <t>Constancias de preservación</t>
  </si>
  <si>
    <t>Responsable de cada fuente</t>
  </si>
  <si>
    <t>Validar calidad y vacíos de información</t>
  </si>
  <si>
    <t>Matriz de calidad</t>
  </si>
  <si>
    <t>Dirección técnica</t>
  </si>
  <si>
    <t>Áreas técnicas</t>
  </si>
  <si>
    <t>Convocar actores competentes</t>
  </si>
  <si>
    <t>Convocatoria y agenda</t>
  </si>
  <si>
    <t>OAJ / enlaces</t>
  </si>
  <si>
    <t>Realizar mesa y acordar RACI</t>
  </si>
  <si>
    <t>Acta y matriz de compromisos</t>
  </si>
  <si>
    <t>Actores competentes</t>
  </si>
  <si>
    <t>Analizar ocho áreas del Sistema Seguro</t>
  </si>
  <si>
    <t>Ficha de riesgos y barreras</t>
  </si>
  <si>
    <t>Dirección designada</t>
  </si>
  <si>
    <t>OAJ / OAP</t>
  </si>
  <si>
    <t>Mesa técnica</t>
  </si>
  <si>
    <t>Formular acciones, responsables e indicadores</t>
  </si>
  <si>
    <t>Plan de acción</t>
  </si>
  <si>
    <t>DCI / ONSV / OAJ</t>
  </si>
  <si>
    <t>Actores externos</t>
  </si>
  <si>
    <t>Validar informe preliminar</t>
  </si>
  <si>
    <t>Informe aprobado</t>
  </si>
  <si>
    <t>5. Seguimiento</t>
  </si>
  <si>
    <t>Verificar compromisos y evidencias</t>
  </si>
  <si>
    <t>Tablero actualizado</t>
  </si>
  <si>
    <t>Dirección competente</t>
  </si>
  <si>
    <t>Responsables de acción</t>
  </si>
  <si>
    <t>Escalar vencimientos y riesgos persistentes</t>
  </si>
  <si>
    <t>Alerta o decisión directiva</t>
  </si>
  <si>
    <t>OAJ / área técnica</t>
  </si>
  <si>
    <t>6. Cierre</t>
  </si>
  <si>
    <t>Evaluar resultados y lecciones</t>
  </si>
  <si>
    <t>Informe final y acta de cierre</t>
  </si>
  <si>
    <t>ONSV y DCI</t>
  </si>
  <si>
    <t>Áreas técnicas / OAJ / OAP</t>
  </si>
  <si>
    <t>Actores participantes</t>
  </si>
  <si>
    <t>Batería de indicadores</t>
  </si>
  <si>
    <t>Metas iniciales sugeridas; ajustar mediante acto o lineamiento institucional después del piloto</t>
  </si>
  <si>
    <t>Código</t>
  </si>
  <si>
    <t>Dimensión</t>
  </si>
  <si>
    <t>Indicador</t>
  </si>
  <si>
    <t>Tipo</t>
  </si>
  <si>
    <t>Unidad</t>
  </si>
  <si>
    <t>Fórmula / criterio</t>
  </si>
  <si>
    <t>Frecuencia</t>
  </si>
  <si>
    <t>Meta inicial</t>
  </si>
  <si>
    <t>Umbral de alerta</t>
  </si>
  <si>
    <t>Fuente</t>
  </si>
  <si>
    <t>Responsable recaudo</t>
  </si>
  <si>
    <t>Responsable cálculo</t>
  </si>
  <si>
    <t>Responsable decisión</t>
  </si>
  <si>
    <t>Numerador / valor</t>
  </si>
  <si>
    <t>Denominador</t>
  </si>
  <si>
    <t>Resultado</t>
  </si>
  <si>
    <t>Corte</t>
  </si>
  <si>
    <t>OP-01</t>
  </si>
  <si>
    <t>Oportunidad</t>
  </si>
  <si>
    <t>Casos con ficha inicial y líder en 24 horas</t>
  </si>
  <si>
    <t>Gestión</t>
  </si>
  <si>
    <t>%</t>
  </si>
  <si>
    <t>Casos cumplidos / casos activados</t>
  </si>
  <si>
    <t>Mensual</t>
  </si>
  <si>
    <t>Fichas iniciales y registro de alertas</t>
  </si>
  <si>
    <t>IN-01</t>
  </si>
  <si>
    <t>Información</t>
  </si>
  <si>
    <t>Variables críticas recibidas en 72 horas</t>
  </si>
  <si>
    <t>Variables recibidas / variables requeridas</t>
  </si>
  <si>
    <t>Por caso</t>
  </si>
  <si>
    <t>DCI / enlaces</t>
  </si>
  <si>
    <t>IN-02</t>
  </si>
  <si>
    <t>Variables críticas validadas al día 7</t>
  </si>
  <si>
    <t>Calidad</t>
  </si>
  <si>
    <t>Variables validadas / variables recibidas</t>
  </si>
  <si>
    <t>ONSV / áreas técnicas</t>
  </si>
  <si>
    <t>GO-01</t>
  </si>
  <si>
    <t>Gobernanza</t>
  </si>
  <si>
    <t>Compromisos cumplidos dentro del plazo</t>
  </si>
  <si>
    <t>Compromisos oportunos / compromisos vencidos en el corte</t>
  </si>
  <si>
    <t>Quincenal</t>
  </si>
  <si>
    <t>Actas y tablero de compromisos</t>
  </si>
  <si>
    <t>TE-01</t>
  </si>
  <si>
    <t>Respuesta técnica</t>
  </si>
  <si>
    <t>Recomendaciones con responsable, plazo e indicador</t>
  </si>
  <si>
    <t>Recomendaciones completas / recomendaciones emitidas</t>
  </si>
  <si>
    <t>Por informe</t>
  </si>
  <si>
    <t>Informe preliminar y plan de acción</t>
  </si>
  <si>
    <t>DCI / OAP</t>
  </si>
  <si>
    <t>RI-01</t>
  </si>
  <si>
    <t>Riesgo</t>
  </si>
  <si>
    <t>Riesgos críticos con medida inmediata definida</t>
  </si>
  <si>
    <t>Riesgos tratados / riesgos críticos identificados</t>
  </si>
  <si>
    <t>Semanal</t>
  </si>
  <si>
    <t>Ficha de riesgos y decisiones</t>
  </si>
  <si>
    <t>EX-01</t>
  </si>
  <si>
    <t>Expediente</t>
  </si>
  <si>
    <t>Documentos obligatorios completos y localizables</t>
  </si>
  <si>
    <t>Documentos completos / documentos obligatorios</t>
  </si>
  <si>
    <t>Lista de chequeo del expediente</t>
  </si>
  <si>
    <t>Gestión documental</t>
  </si>
  <si>
    <t>DCI / OAJ</t>
  </si>
  <si>
    <t>AR-01</t>
  </si>
  <si>
    <t>Articulación</t>
  </si>
  <si>
    <t>Autoridades que respondieron dentro del plazo</t>
  </si>
  <si>
    <t>Respuestas oportunas / solicitudes vencidas</t>
  </si>
  <si>
    <t>ORFEO y matriz de recaudo</t>
  </si>
  <si>
    <t>CI-01</t>
  </si>
  <si>
    <t>Cierre</t>
  </si>
  <si>
    <t>Acciones cerradas con evidencia de efectividad</t>
  </si>
  <si>
    <t>Acciones efectivas / acciones cerradas</t>
  </si>
  <si>
    <t>ONSV / DCI</t>
  </si>
  <si>
    <t>AP-01</t>
  </si>
  <si>
    <t>Aprendizaje</t>
  </si>
  <si>
    <t>Casos con lección incorporada a lineamiento o asistencia</t>
  </si>
  <si>
    <t>Casos con transferencia / casos cerrados</t>
  </si>
  <si>
    <t>Trimestral</t>
  </si>
  <si>
    <t>Informe de lecciones y productos actualizados</t>
  </si>
  <si>
    <t>ONSV / OAP</t>
  </si>
  <si>
    <t>Comité directivo</t>
  </si>
  <si>
    <t>SV-01</t>
  </si>
  <si>
    <t>Resultado vial</t>
  </si>
  <si>
    <t>Variación de eventos similares en el corredor</t>
  </si>
  <si>
    <t>Impacto</t>
  </si>
  <si>
    <t>(Eventos periodo actual - periodo base) / periodo base</t>
  </si>
  <si>
    <t>Base ONSV con exposición comparable</t>
  </si>
  <si>
    <t>AV-01</t>
  </si>
  <si>
    <t>Atención a víctimas</t>
  </si>
  <si>
    <t>Casos con revisión de oportunidad de respuesta</t>
  </si>
  <si>
    <t>Casos revisados / casos activados con víctimas</t>
  </si>
  <si>
    <t>CRUE, salud y ficha de víctimas</t>
  </si>
  <si>
    <t>Grupo de Víctimas / Salud</t>
  </si>
  <si>
    <t>Grupo de Víctimas</t>
  </si>
  <si>
    <t>Matriz de recaudo y validación de información</t>
  </si>
  <si>
    <t>Controla solicitud, recepción, calidad, reserva y custodia de cada fuente</t>
  </si>
  <si>
    <t>Área Sistema Seguro</t>
  </si>
  <si>
    <t>Información / documento</t>
  </si>
  <si>
    <t>Fuente primaria</t>
  </si>
  <si>
    <t>Entidad o custodio</t>
  </si>
  <si>
    <t>Mecanismo de solicitud</t>
  </si>
  <si>
    <t>Responsable ANSV</t>
  </si>
  <si>
    <t>Fecha solicitud</t>
  </si>
  <si>
    <t>Fecha recepción</t>
  </si>
  <si>
    <t>Validación requerida</t>
  </si>
  <si>
    <t>Responsable validación</t>
  </si>
  <si>
    <t>Reserva / datos personales</t>
  </si>
  <si>
    <t>Ubicación en expediente</t>
  </si>
  <si>
    <t>Observaciones / vacío</t>
  </si>
  <si>
    <t>General</t>
  </si>
  <si>
    <t>IPAT, informe policial y croquis</t>
  </si>
  <si>
    <t>Autoridad de tránsito / DITRA</t>
  </si>
  <si>
    <t>DITRA o autoridad territorial</t>
  </si>
  <si>
    <t>Oficio y mesa técnica</t>
  </si>
  <si>
    <t>Por solicitar</t>
  </si>
  <si>
    <t>Integridad, lugar, hora y participantes</t>
  </si>
  <si>
    <t>ONSV / área técnica</t>
  </si>
  <si>
    <t>Reservado si contiene datos personales</t>
  </si>
  <si>
    <t>02_Evidencia/Policía</t>
  </si>
  <si>
    <t>Registro de víctimas y severidad</t>
  </si>
  <si>
    <t>Salud / CRUE / Medicina Legal</t>
  </si>
  <si>
    <t>Secretaría de Salud / CRUE</t>
  </si>
  <si>
    <t>Canal seguro u oficio</t>
  </si>
  <si>
    <t>Identidad mínima, severidad y consistencia</t>
  </si>
  <si>
    <t>Grupo de Víctimas / ONSV</t>
  </si>
  <si>
    <t>Sensible</t>
  </si>
  <si>
    <t>02_Evidencia/Víctimas</t>
  </si>
  <si>
    <t>Infraestructura segura</t>
  </si>
  <si>
    <t>Inventario, diseño y estado de la vía</t>
  </si>
  <si>
    <t>Administrador vial</t>
  </si>
  <si>
    <t>ANI / INVIAS / concesionario</t>
  </si>
  <si>
    <t>Oficio y visita técnica</t>
  </si>
  <si>
    <t>Área de infraestructura</t>
  </si>
  <si>
    <t>Vigencia, georreferenciación y competencia</t>
  </si>
  <si>
    <t>Uso institucional</t>
  </si>
  <si>
    <t>02_Evidencia/Infraestructura</t>
  </si>
  <si>
    <t>Mantenimiento e intervenciones recientes</t>
  </si>
  <si>
    <t>Oficio</t>
  </si>
  <si>
    <t>Fechas, contratos y evidencias</t>
  </si>
  <si>
    <t>Velocidades seguras</t>
  </si>
  <si>
    <t>Límites, estudios y mediciones de velocidad</t>
  </si>
  <si>
    <t>Administrador / autoridad</t>
  </si>
  <si>
    <t>Concesionario / organismo de tránsito</t>
  </si>
  <si>
    <t>Área técnica / DCI</t>
  </si>
  <si>
    <t>Método, periodo y comparabilidad</t>
  </si>
  <si>
    <t>Área técnica / ONSV</t>
  </si>
  <si>
    <t>02_Evidencia/Velocidad</t>
  </si>
  <si>
    <t>Controles y comparendos asociados</t>
  </si>
  <si>
    <t>Autoridad de control</t>
  </si>
  <si>
    <t>DITRA / organismo de tránsito</t>
  </si>
  <si>
    <t>Cumplimiento normativo</t>
  </si>
  <si>
    <t>Comparendo no equivale a sanción; separar estados</t>
  </si>
  <si>
    <t>Cumplimiento / ONSV</t>
  </si>
  <si>
    <t>Reservado según contenido</t>
  </si>
  <si>
    <t>02_Evidencia/Control</t>
  </si>
  <si>
    <t>Vehículos seguros</t>
  </si>
  <si>
    <t>Revisión técnico-mecánica y características</t>
  </si>
  <si>
    <t>RUNT / CDA / empresa</t>
  </si>
  <si>
    <t>MinTransporte / RUNT / empresa</t>
  </si>
  <si>
    <t>Requerimiento documental</t>
  </si>
  <si>
    <t>Área de vehículos</t>
  </si>
  <si>
    <t>Vigencia, identificación y trazabilidad</t>
  </si>
  <si>
    <t>Reservado</t>
  </si>
  <si>
    <t>02_Evidencia/Vehículo</t>
  </si>
  <si>
    <t>Mantenimiento preventivo y correctivo</t>
  </si>
  <si>
    <t>Empresa transportadora</t>
  </si>
  <si>
    <t>Empresa / propietario</t>
  </si>
  <si>
    <t>Autenticidad, fechas, kilometraje</t>
  </si>
  <si>
    <t>Reservado comercial</t>
  </si>
  <si>
    <t>Comportamiento seguro</t>
  </si>
  <si>
    <t>Licencia, formación y antecedentes del conductor</t>
  </si>
  <si>
    <t>RUNT / empresa / autoridad</t>
  </si>
  <si>
    <t>MinTransporte / empresa / DITRA</t>
  </si>
  <si>
    <t>Oficio o requerimiento</t>
  </si>
  <si>
    <t>Área técnica</t>
  </si>
  <si>
    <t>Vigencia y pertinencia</t>
  </si>
  <si>
    <t>Área técnica / OAJ</t>
  </si>
  <si>
    <t>Dato personal</t>
  </si>
  <si>
    <t>02_Evidencia/Conductor</t>
  </si>
  <si>
    <t>Jornada, descansos, GPS y operación</t>
  </si>
  <si>
    <t>Empresa / plataforma GPS</t>
  </si>
  <si>
    <t>Requerimiento con preservación</t>
  </si>
  <si>
    <t>DCI / área técnica</t>
  </si>
  <si>
    <t>Zona horaria, continuidad y metadatos</t>
  </si>
  <si>
    <t>Área técnica / TIC</t>
  </si>
  <si>
    <t>02_Evidencia/Operación</t>
  </si>
  <si>
    <t>PESV, habilitación y actuaciones de vigilancia</t>
  </si>
  <si>
    <t>Empresa / SuperTransporte</t>
  </si>
  <si>
    <t>SuperTransporte / empresa</t>
  </si>
  <si>
    <t>Traslado u oficio</t>
  </si>
  <si>
    <t>Vigencia, alcance y competencia</t>
  </si>
  <si>
    <t>Cumplimiento / OAJ</t>
  </si>
  <si>
    <t>02_Evidencia/Cumplimiento</t>
  </si>
  <si>
    <t>Línea de tiempo de aviso, rescate y traslado</t>
  </si>
  <si>
    <t>CRUE / bomberos / salud</t>
  </si>
  <si>
    <t>CRUE / prestadores / municipio</t>
  </si>
  <si>
    <t>Canal seguro y mesa</t>
  </si>
  <si>
    <t>Marcas de tiempo y continuidad</t>
  </si>
  <si>
    <t>02_Evidencia/Respuesta</t>
  </si>
  <si>
    <t>Videos CCTV y fotografías</t>
  </si>
  <si>
    <t>Administrador vial / terceros</t>
  </si>
  <si>
    <t>Concesionario / autoridad / comunidad</t>
  </si>
  <si>
    <t>Solicitud urgente de preservación</t>
  </si>
  <si>
    <t>Fecha, hora, integridad y cadena de custodia</t>
  </si>
  <si>
    <t>TIC / área técnica</t>
  </si>
  <si>
    <t>02_Evidencia/Audiovisual</t>
  </si>
  <si>
    <t>Actas, comunicaciones y decisiones previas</t>
  </si>
  <si>
    <t>Entidades participantes</t>
  </si>
  <si>
    <t>ANSV y actores externos</t>
  </si>
  <si>
    <t>Consulta de repositorios</t>
  </si>
  <si>
    <t>Versión y trazabilidad</t>
  </si>
  <si>
    <t>DCI / Gestión documental</t>
  </si>
  <si>
    <t>01_Actuaciones</t>
  </si>
  <si>
    <t>Gestión del conocimiento</t>
  </si>
  <si>
    <t>Histórico de siniestros y factores de riesgo</t>
  </si>
  <si>
    <t>Bases ONSV</t>
  </si>
  <si>
    <t>Consulta institucional</t>
  </si>
  <si>
    <t>Cobertura, periodo y exposición</t>
  </si>
  <si>
    <t>Datos anonimizados</t>
  </si>
  <si>
    <t>03_Análisis</t>
  </si>
  <si>
    <t>Lista de chequeo del expediente analítico único</t>
  </si>
  <si>
    <t>Estructura documental mínima para asegurar integridad, trazabilidad, reserva y cierre</t>
  </si>
  <si>
    <t>Sección</t>
  </si>
  <si>
    <t>Documento / registro</t>
  </si>
  <si>
    <t>Obligatorio</t>
  </si>
  <si>
    <t>Responsable de incorporación</t>
  </si>
  <si>
    <t>Fecha de corte</t>
  </si>
  <si>
    <t>Versión</t>
  </si>
  <si>
    <t>Ubicación / enlace</t>
  </si>
  <si>
    <t>Completitud</t>
  </si>
  <si>
    <t>Control de calidad</t>
  </si>
  <si>
    <t>Observaciones</t>
  </si>
  <si>
    <t>00. Carátula y control</t>
  </si>
  <si>
    <t>00-01</t>
  </si>
  <si>
    <t>Carátula: código, evento, fecha, lugar, líder y nivel de alerta</t>
  </si>
  <si>
    <t>Sí</t>
  </si>
  <si>
    <t>1.0</t>
  </si>
  <si>
    <t>00_Control</t>
  </si>
  <si>
    <t>Pendiente</t>
  </si>
  <si>
    <t>Sin revisar</t>
  </si>
  <si>
    <t>00-02</t>
  </si>
  <si>
    <t>Índice documental y control de versiones</t>
  </si>
  <si>
    <t>00-03</t>
  </si>
  <si>
    <t>Matriz de accesos, reserva y tratamiento de datos</t>
  </si>
  <si>
    <t>Política institucional</t>
  </si>
  <si>
    <t>01. Activación</t>
  </si>
  <si>
    <t>01-01</t>
  </si>
  <si>
    <t>Alerta o reporte inicial del evento</t>
  </si>
  <si>
    <t>Fuente de alerta</t>
  </si>
  <si>
    <t>01_Activación</t>
  </si>
  <si>
    <t>01-02</t>
  </si>
  <si>
    <t>Ficha inicial y valoración de criterios</t>
  </si>
  <si>
    <t>DCI / ONSV</t>
  </si>
  <si>
    <t>Análisis inicial</t>
  </si>
  <si>
    <t>01-03</t>
  </si>
  <si>
    <t>Decisión de activación y designación del líder</t>
  </si>
  <si>
    <t>Comunicación interna</t>
  </si>
  <si>
    <t>02. Actuaciones</t>
  </si>
  <si>
    <t>02-01</t>
  </si>
  <si>
    <t>Directorio de actores y mapa de competencias</t>
  </si>
  <si>
    <t>Fuentes institucionales</t>
  </si>
  <si>
    <t>02_Actuaciones</t>
  </si>
  <si>
    <t>02-02</t>
  </si>
  <si>
    <t>Oficios, radicados, traslados y constancias de envío</t>
  </si>
  <si>
    <t>ORFEO</t>
  </si>
  <si>
    <t>02-03</t>
  </si>
  <si>
    <t>Convocatorias, agendas, actas y listas de asistencia</t>
  </si>
  <si>
    <t>Mesas técnicas</t>
  </si>
  <si>
    <t>02-04</t>
  </si>
  <si>
    <t>Matriz RACI y compromisos</t>
  </si>
  <si>
    <t>03. Evidencia</t>
  </si>
  <si>
    <t>03-01</t>
  </si>
  <si>
    <t>IPAT, croquis, informe policial y registros de control</t>
  </si>
  <si>
    <t>Según caso</t>
  </si>
  <si>
    <t>Autoridad competente</t>
  </si>
  <si>
    <t>03_Evidencia/Policía</t>
  </si>
  <si>
    <t>03-02</t>
  </si>
  <si>
    <t>Información de infraestructura, señalización y mantenimiento</t>
  </si>
  <si>
    <t>Infraestructura</t>
  </si>
  <si>
    <t>03_Evidencia/Infraestructura</t>
  </si>
  <si>
    <t>03-03</t>
  </si>
  <si>
    <t>Estudios y registros de velocidad</t>
  </si>
  <si>
    <t>03_Evidencia/Velocidad</t>
  </si>
  <si>
    <t>03-04</t>
  </si>
  <si>
    <t>Características, RTM y mantenimiento del vehículo</t>
  </si>
  <si>
    <t>Vehículos</t>
  </si>
  <si>
    <t>RUNT / empresa</t>
  </si>
  <si>
    <t>03_Evidencia/Vehículo</t>
  </si>
  <si>
    <t>03-05</t>
  </si>
  <si>
    <t>Jornada, GPS, operación y documentación del conductor</t>
  </si>
  <si>
    <t>Empresa / autoridad</t>
  </si>
  <si>
    <t>03_Evidencia/Operación</t>
  </si>
  <si>
    <t>03-06</t>
  </si>
  <si>
    <t>CCTV, fotografías y archivos audiovisuales con metadatos</t>
  </si>
  <si>
    <t>DCI / TIC</t>
  </si>
  <si>
    <t>Concesionario / autoridad</t>
  </si>
  <si>
    <t>03_Evidencia/Audiovisual</t>
  </si>
  <si>
    <t>03-07</t>
  </si>
  <si>
    <t>Información de víctimas y respuesta de emergencias</t>
  </si>
  <si>
    <t>Salud / CRUE</t>
  </si>
  <si>
    <t>03_Evidencia/Víctimas</t>
  </si>
  <si>
    <t>03-08</t>
  </si>
  <si>
    <t>Cumplimiento</t>
  </si>
  <si>
    <t>03_Evidencia/Cumplimiento</t>
  </si>
  <si>
    <t>04. Análisis</t>
  </si>
  <si>
    <t>04-01</t>
  </si>
  <si>
    <t>Matriz de calidad, vacíos y hechos confirmados</t>
  </si>
  <si>
    <t>Fuentes recaudadas</t>
  </si>
  <si>
    <t>04_Análisis</t>
  </si>
  <si>
    <t>04-02</t>
  </si>
  <si>
    <t>Línea de tiempo del evento y de la respuesta</t>
  </si>
  <si>
    <t>Evidencias</t>
  </si>
  <si>
    <t>04-03</t>
  </si>
  <si>
    <t>Ficha de riesgos por ocho áreas del Sistema Seguro</t>
  </si>
  <si>
    <t>Análisis sistémico</t>
  </si>
  <si>
    <t>04-04</t>
  </si>
  <si>
    <t>Conceptos técnicos por disciplina</t>
  </si>
  <si>
    <t>Análisis especializado</t>
  </si>
  <si>
    <t>04-05</t>
  </si>
  <si>
    <t>Concepto jurídico de competencia, reserva y remisiones</t>
  </si>
  <si>
    <t>OAJ</t>
  </si>
  <si>
    <t>Revisión jurídica</t>
  </si>
  <si>
    <t>04-06</t>
  </si>
  <si>
    <t>Informe preliminar validado</t>
  </si>
  <si>
    <t>Análisis consolidado</t>
  </si>
  <si>
    <t>05. Plan de acción</t>
  </si>
  <si>
    <t>05-01</t>
  </si>
  <si>
    <t>Recomendaciones priorizadas</t>
  </si>
  <si>
    <t>05_Plan</t>
  </si>
  <si>
    <t>05-02</t>
  </si>
  <si>
    <t>Plan con responsable, plazo, recursos, indicador y evidencia</t>
  </si>
  <si>
    <t>05-03</t>
  </si>
  <si>
    <t>Decisiones directivas y medidas inmediatas</t>
  </si>
  <si>
    <t>Escalamientos</t>
  </si>
  <si>
    <t>06. Seguimiento</t>
  </si>
  <si>
    <t>06-01</t>
  </si>
  <si>
    <t>Tablero de compromisos, alertas y evidencias</t>
  </si>
  <si>
    <t>Responsables</t>
  </si>
  <si>
    <t>06_Seguimiento</t>
  </si>
  <si>
    <t>06-02</t>
  </si>
  <si>
    <t>Verificación de implementación y efectividad</t>
  </si>
  <si>
    <t>Evidencia de resultados</t>
  </si>
  <si>
    <t>07. Cierre</t>
  </si>
  <si>
    <t>07-01</t>
  </si>
  <si>
    <t>Informe final, lecciones y decisión de cierre</t>
  </si>
  <si>
    <t>Expediente consolidado</t>
  </si>
  <si>
    <t>07_Cierre</t>
  </si>
  <si>
    <t>07-02</t>
  </si>
  <si>
    <t>Acta de cierre o decisión de seguimiento estructural</t>
  </si>
  <si>
    <t>Informe final</t>
  </si>
  <si>
    <t>07-03</t>
  </si>
  <si>
    <t>Registro de transferencia a lineamientos, PNSV o asistencia técnica</t>
  </si>
  <si>
    <t>OAP / ONSV / DCI</t>
  </si>
  <si>
    <t>Lecciones aprendidas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</si>
</sst>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sz val="10"/>
      <color rgb="FF253247"/>
      <name val="Arial"/>
    </font>
    <font>
      <b/>
      <sz val="16"/>
      <color rgb="FF193B64"/>
      <name val="Arial"/>
    </font>
    <font>
      <i/>
      <sz val="10"/>
      <color rgb="FF64748B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93B64"/>
      </patternFill>
    </fill>
    <fill>
      <patternFill patternType="solid">
        <fgColor rgb="FFEAF2F8"/>
      </patternFill>
    </fill>
    <fill>
      <patternFill patternType="solid">
        <fgColor rgb="FFF2F4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9" fontId="1" fillId="4" borderId="1" xfId="0" applyNumberFormat="1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164" fontId="1" fillId="6" borderId="1" xfId="0" applyNumberFormat="1" applyFont="1" applyFill="1" applyBorder="1" applyAlignment="1">
      <alignment vertical="center" wrapText="1"/>
    </xf>
    <xf numFmtId="9" fontId="1" fillId="6" borderId="1" xfId="0" applyNumberFormat="1" applyFont="1" applyFill="1" applyBorder="1" applyAlignment="1">
      <alignment vertical="center"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b/>
        <color rgb="FF38761D"/>
      </font>
      <fill>
        <patternFill patternType="solid">
          <bgColor rgb="FFD9EAD3"/>
        </patternFill>
      </fill>
    </dxf>
    <dxf>
      <font>
        <color rgb="FFB45F06"/>
      </font>
      <fill>
        <patternFill patternType="solid">
          <bgColor rgb="FFFCE5CD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showGridLines="0" tabSelected="1" topLeftCell="A11" workbookViewId="0">
      <selection activeCell="A20" sqref="A20:L23"/>
    </sheetView>
  </sheetViews>
  <sheetFormatPr baseColWidth="10" defaultColWidth="9" defaultRowHeight="14.25"/>
  <cols>
    <col min="1" max="1" width="25" customWidth="1"/>
    <col min="2" max="2" width="17" customWidth="1"/>
    <col min="3" max="3" width="24" customWidth="1"/>
    <col min="4" max="4" width="26" customWidth="1"/>
    <col min="5" max="5" width="25" customWidth="1"/>
    <col min="6" max="6" width="30" customWidth="1"/>
    <col min="7" max="7" width="24" customWidth="1"/>
    <col min="8" max="8" width="14" customWidth="1"/>
    <col min="9" max="9" width="3" customWidth="1"/>
    <col min="10" max="10" width="24" customWidth="1"/>
    <col min="11" max="11" width="14" customWidth="1"/>
    <col min="12" max="12" width="3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2.1" customHeight="1">
      <c r="A6" s="3" t="s">
        <v>2</v>
      </c>
      <c r="B6" s="3" t="s">
        <v>3</v>
      </c>
      <c r="C6" s="1"/>
      <c r="D6" s="3" t="s">
        <v>2</v>
      </c>
      <c r="E6" s="3" t="s">
        <v>3</v>
      </c>
      <c r="F6" s="1"/>
      <c r="G6" s="3" t="s">
        <v>2</v>
      </c>
      <c r="H6" s="3" t="s">
        <v>3</v>
      </c>
      <c r="I6" s="1"/>
      <c r="J6" s="3" t="s">
        <v>2</v>
      </c>
      <c r="K6" s="3" t="s">
        <v>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 t="s">
        <v>4</v>
      </c>
      <c r="B7" s="5">
        <f>COUNTA('Seguimiento proceso'!$A$7:$A$106)</f>
        <v>15</v>
      </c>
      <c r="C7" s="1"/>
      <c r="D7" s="5" t="s">
        <v>5</v>
      </c>
      <c r="E7" s="5">
        <f ca="1">COUNTIF('Seguimiento proceso'!$P$7:$P$106,"Rojo")</f>
        <v>0</v>
      </c>
      <c r="F7" s="1"/>
      <c r="G7" s="5" t="s">
        <v>6</v>
      </c>
      <c r="H7" s="5">
        <f>COUNTIF(Indicadores!$R$7:$R$106,"Rojo")</f>
        <v>0</v>
      </c>
      <c r="I7" s="1"/>
      <c r="J7" s="5" t="s">
        <v>7</v>
      </c>
      <c r="K7" s="7">
        <f>IFERROR(COUNTIF('Expediente único'!$J$7:$J$106,"Completo")/COUNTA('Expediente único'!$A$7:$A$106),0)</f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2.1" customHeight="1">
      <c r="A10" s="14" t="s">
        <v>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2.1" customHeight="1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 t="s">
        <v>27</v>
      </c>
      <c r="B14" s="4" t="s">
        <v>28</v>
      </c>
      <c r="C14" s="4" t="s">
        <v>29</v>
      </c>
      <c r="D14" s="4" t="s">
        <v>30</v>
      </c>
      <c r="E14" s="4" t="s">
        <v>31</v>
      </c>
      <c r="F14" s="4" t="s">
        <v>32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>
      <c r="A15" s="4" t="s">
        <v>33</v>
      </c>
      <c r="B15" s="4" t="s">
        <v>34</v>
      </c>
      <c r="C15" s="4" t="s">
        <v>35</v>
      </c>
      <c r="D15" s="4" t="s">
        <v>36</v>
      </c>
      <c r="E15" s="4" t="s">
        <v>37</v>
      </c>
      <c r="F15" s="4" t="s">
        <v>38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4" t="s">
        <v>39</v>
      </c>
      <c r="B16" s="4" t="s">
        <v>40</v>
      </c>
      <c r="C16" s="4" t="s">
        <v>41</v>
      </c>
      <c r="D16" s="4" t="s">
        <v>42</v>
      </c>
      <c r="E16" s="4" t="s">
        <v>43</v>
      </c>
      <c r="F16" s="4" t="s">
        <v>44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2.1" customHeight="1">
      <c r="A19" s="14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 t="s">
        <v>46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5">
    <mergeCell ref="A2:L2"/>
    <mergeCell ref="A3:L3"/>
    <mergeCell ref="A10:L10"/>
    <mergeCell ref="A19:L19"/>
    <mergeCell ref="A20:L23"/>
  </mergeCells>
  <pageMargins left="0.7" right="0.7" top="0.75" bottom="0.75" header="0.3" footer="0.3"/>
  <headerFooter>
    <oddFooter>&amp;L_x000D_&amp;1#&amp;"Aptos"&amp;10&amp;K000000 Información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showGridLines="0" workbookViewId="0">
      <pane xSplit="4" ySplit="6" topLeftCell="O7" activePane="bottomRight" state="frozen"/>
      <selection pane="topRight"/>
      <selection pane="bottomLeft"/>
      <selection pane="bottomRight" activeCell="E7" sqref="E7"/>
    </sheetView>
  </sheetViews>
  <sheetFormatPr baseColWidth="10" defaultColWidth="9" defaultRowHeight="14.25"/>
  <cols>
    <col min="1" max="1" width="6" customWidth="1"/>
    <col min="2" max="2" width="16" customWidth="1"/>
    <col min="3" max="3" width="18" customWidth="1"/>
    <col min="4" max="4" width="32" customWidth="1"/>
    <col min="5" max="5" width="26" customWidth="1"/>
    <col min="6" max="6" width="22" customWidth="1"/>
    <col min="7" max="7" width="20" customWidth="1"/>
    <col min="8" max="8" width="22" customWidth="1"/>
    <col min="9" max="9" width="20" customWidth="1"/>
    <col min="10" max="12" width="13" customWidth="1"/>
    <col min="13" max="13" width="16" customWidth="1"/>
    <col min="14" max="14" width="11" customWidth="1"/>
    <col min="15" max="15" width="13" customWidth="1"/>
    <col min="16" max="16" width="12" customWidth="1"/>
    <col min="17" max="17" width="30" customWidth="1"/>
    <col min="18" max="18" width="32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>
      <c r="A2" s="11" t="s">
        <v>47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"/>
      <c r="T2" s="1"/>
      <c r="U2" s="1"/>
      <c r="V2" s="1"/>
      <c r="W2" s="1"/>
      <c r="X2" s="1"/>
      <c r="Y2" s="1"/>
      <c r="Z2" s="1"/>
    </row>
    <row r="3" spans="1:26">
      <c r="A3" s="13" t="s">
        <v>48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"/>
      <c r="T3" s="1"/>
      <c r="U3" s="1"/>
      <c r="V3" s="1"/>
      <c r="W3" s="1"/>
      <c r="X3" s="1"/>
      <c r="Y3" s="1"/>
      <c r="Z3" s="1"/>
    </row>
    <row r="4" spans="1:26" ht="3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2.1" customHeight="1">
      <c r="A6" s="3" t="s">
        <v>49</v>
      </c>
      <c r="B6" s="3" t="s">
        <v>50</v>
      </c>
      <c r="C6" s="3" t="s">
        <v>9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58</v>
      </c>
      <c r="L6" s="3" t="s">
        <v>59</v>
      </c>
      <c r="M6" s="3" t="s">
        <v>60</v>
      </c>
      <c r="N6" s="3" t="s">
        <v>61</v>
      </c>
      <c r="O6" s="3" t="s">
        <v>62</v>
      </c>
      <c r="P6" s="3" t="s">
        <v>63</v>
      </c>
      <c r="Q6" s="3" t="s">
        <v>64</v>
      </c>
      <c r="R6" s="3" t="s">
        <v>65</v>
      </c>
      <c r="S6" s="1"/>
      <c r="T6" s="1"/>
      <c r="U6" s="1"/>
      <c r="V6" s="1"/>
      <c r="W6" s="1"/>
      <c r="X6" s="1"/>
      <c r="Y6" s="1"/>
      <c r="Z6" s="1"/>
    </row>
    <row r="7" spans="1:26">
      <c r="A7" s="4">
        <v>1</v>
      </c>
      <c r="B7" s="8" t="s">
        <v>66</v>
      </c>
      <c r="C7" s="8" t="s">
        <v>15</v>
      </c>
      <c r="D7" s="8" t="s">
        <v>67</v>
      </c>
      <c r="E7" s="8" t="s">
        <v>18</v>
      </c>
      <c r="F7" s="8" t="s">
        <v>68</v>
      </c>
      <c r="G7" s="8" t="s">
        <v>69</v>
      </c>
      <c r="H7" s="8" t="s">
        <v>70</v>
      </c>
      <c r="I7" s="8" t="s">
        <v>71</v>
      </c>
      <c r="J7" s="9"/>
      <c r="K7" s="9"/>
      <c r="L7" s="9"/>
      <c r="M7" s="8" t="s">
        <v>72</v>
      </c>
      <c r="N7" s="10">
        <v>0</v>
      </c>
      <c r="O7" s="5" t="str">
        <f t="shared" ref="O7:O38" ca="1" si="0">IF(K7="","",K7-TODAY())</f>
        <v/>
      </c>
      <c r="P7" s="5" t="str">
        <f t="shared" ref="P7:P38" ca="1" si="1">IF(M7="Cerrado","Verde",IF(K7="","Sin fecha",IF(K7&lt;TODAY(),"Rojo",IF(K7-TODAY()&lt;=3,"Amarillo","Verde"))))</f>
        <v>Sin fecha</v>
      </c>
      <c r="Q7" s="4"/>
      <c r="R7" s="4"/>
      <c r="S7" s="1"/>
      <c r="T7" s="1"/>
      <c r="U7" s="1"/>
      <c r="V7" s="1"/>
      <c r="W7" s="1"/>
      <c r="X7" s="1"/>
      <c r="Y7" s="1"/>
      <c r="Z7" s="1"/>
    </row>
    <row r="8" spans="1:26">
      <c r="A8" s="4">
        <v>2</v>
      </c>
      <c r="B8" s="8" t="s">
        <v>66</v>
      </c>
      <c r="C8" s="8" t="s">
        <v>15</v>
      </c>
      <c r="D8" s="8" t="s">
        <v>73</v>
      </c>
      <c r="E8" s="8" t="s">
        <v>74</v>
      </c>
      <c r="F8" s="8" t="s">
        <v>29</v>
      </c>
      <c r="G8" s="8" t="s">
        <v>69</v>
      </c>
      <c r="H8" s="8" t="s">
        <v>75</v>
      </c>
      <c r="I8" s="8" t="s">
        <v>76</v>
      </c>
      <c r="J8" s="9"/>
      <c r="K8" s="9"/>
      <c r="L8" s="9"/>
      <c r="M8" s="8" t="s">
        <v>72</v>
      </c>
      <c r="N8" s="10">
        <v>0</v>
      </c>
      <c r="O8" s="5" t="str">
        <f t="shared" ca="1" si="0"/>
        <v/>
      </c>
      <c r="P8" s="5" t="str">
        <f t="shared" ca="1" si="1"/>
        <v>Sin fecha</v>
      </c>
      <c r="Q8" s="4"/>
      <c r="R8" s="4"/>
      <c r="S8" s="1"/>
      <c r="T8" s="1"/>
      <c r="U8" s="1"/>
      <c r="V8" s="1"/>
      <c r="W8" s="1"/>
      <c r="X8" s="1"/>
      <c r="Y8" s="1"/>
      <c r="Z8" s="1"/>
    </row>
    <row r="9" spans="1:26">
      <c r="A9" s="4">
        <v>3</v>
      </c>
      <c r="B9" s="8" t="s">
        <v>66</v>
      </c>
      <c r="C9" s="8" t="s">
        <v>15</v>
      </c>
      <c r="D9" s="8" t="s">
        <v>77</v>
      </c>
      <c r="E9" s="8" t="s">
        <v>78</v>
      </c>
      <c r="F9" s="8" t="s">
        <v>69</v>
      </c>
      <c r="G9" s="8" t="s">
        <v>69</v>
      </c>
      <c r="H9" s="8" t="s">
        <v>29</v>
      </c>
      <c r="I9" s="8" t="s">
        <v>71</v>
      </c>
      <c r="J9" s="9"/>
      <c r="K9" s="9"/>
      <c r="L9" s="9"/>
      <c r="M9" s="8" t="s">
        <v>72</v>
      </c>
      <c r="N9" s="10">
        <v>0</v>
      </c>
      <c r="O9" s="5" t="str">
        <f t="shared" ca="1" si="0"/>
        <v/>
      </c>
      <c r="P9" s="5" t="str">
        <f t="shared" ca="1" si="1"/>
        <v>Sin fecha</v>
      </c>
      <c r="Q9" s="4"/>
      <c r="R9" s="4"/>
      <c r="S9" s="1"/>
      <c r="T9" s="1"/>
      <c r="U9" s="1"/>
      <c r="V9" s="1"/>
      <c r="W9" s="1"/>
      <c r="X9" s="1"/>
      <c r="Y9" s="1"/>
      <c r="Z9" s="1"/>
    </row>
    <row r="10" spans="1:26" ht="25.5">
      <c r="A10" s="4">
        <v>4</v>
      </c>
      <c r="B10" s="8" t="s">
        <v>66</v>
      </c>
      <c r="C10" s="8" t="s">
        <v>21</v>
      </c>
      <c r="D10" s="8" t="s">
        <v>79</v>
      </c>
      <c r="E10" s="8" t="s">
        <v>80</v>
      </c>
      <c r="F10" s="8" t="s">
        <v>81</v>
      </c>
      <c r="G10" s="8" t="s">
        <v>29</v>
      </c>
      <c r="H10" s="8" t="s">
        <v>82</v>
      </c>
      <c r="I10" s="8" t="s">
        <v>83</v>
      </c>
      <c r="J10" s="9"/>
      <c r="K10" s="9"/>
      <c r="L10" s="9"/>
      <c r="M10" s="8" t="s">
        <v>72</v>
      </c>
      <c r="N10" s="10">
        <v>0</v>
      </c>
      <c r="O10" s="5" t="str">
        <f t="shared" ca="1" si="0"/>
        <v/>
      </c>
      <c r="P10" s="5" t="str">
        <f t="shared" ca="1" si="1"/>
        <v>Sin fecha</v>
      </c>
      <c r="Q10" s="4"/>
      <c r="R10" s="4"/>
      <c r="S10" s="1"/>
      <c r="T10" s="1"/>
      <c r="U10" s="1"/>
      <c r="V10" s="1"/>
      <c r="W10" s="1"/>
      <c r="X10" s="1"/>
      <c r="Y10" s="1"/>
      <c r="Z10" s="1"/>
    </row>
    <row r="11" spans="1:26" ht="25.5">
      <c r="A11" s="4">
        <v>5</v>
      </c>
      <c r="B11" s="8" t="s">
        <v>66</v>
      </c>
      <c r="C11" s="8" t="s">
        <v>21</v>
      </c>
      <c r="D11" s="8" t="s">
        <v>84</v>
      </c>
      <c r="E11" s="8" t="s">
        <v>85</v>
      </c>
      <c r="F11" s="8" t="s">
        <v>29</v>
      </c>
      <c r="G11" s="8" t="s">
        <v>86</v>
      </c>
      <c r="H11" s="8" t="s">
        <v>87</v>
      </c>
      <c r="I11" s="8" t="s">
        <v>69</v>
      </c>
      <c r="J11" s="9"/>
      <c r="K11" s="9"/>
      <c r="L11" s="9"/>
      <c r="M11" s="8" t="s">
        <v>72</v>
      </c>
      <c r="N11" s="10">
        <v>0</v>
      </c>
      <c r="O11" s="5" t="str">
        <f t="shared" ca="1" si="0"/>
        <v/>
      </c>
      <c r="P11" s="5" t="str">
        <f t="shared" ca="1" si="1"/>
        <v>Sin fecha</v>
      </c>
      <c r="Q11" s="4"/>
      <c r="R11" s="4"/>
      <c r="S11" s="1"/>
      <c r="T11" s="1"/>
      <c r="U11" s="1"/>
      <c r="V11" s="1"/>
      <c r="W11" s="1"/>
      <c r="X11" s="1"/>
      <c r="Y11" s="1"/>
      <c r="Z11" s="1"/>
    </row>
    <row r="12" spans="1:26" ht="25.5">
      <c r="A12" s="4">
        <v>6</v>
      </c>
      <c r="B12" s="8" t="s">
        <v>66</v>
      </c>
      <c r="C12" s="8" t="s">
        <v>21</v>
      </c>
      <c r="D12" s="8" t="s">
        <v>88</v>
      </c>
      <c r="E12" s="8" t="s">
        <v>89</v>
      </c>
      <c r="F12" s="8" t="s">
        <v>90</v>
      </c>
      <c r="G12" s="8" t="s">
        <v>29</v>
      </c>
      <c r="H12" s="8" t="s">
        <v>82</v>
      </c>
      <c r="I12" s="8" t="s">
        <v>83</v>
      </c>
      <c r="J12" s="9"/>
      <c r="K12" s="9"/>
      <c r="L12" s="9"/>
      <c r="M12" s="8" t="s">
        <v>72</v>
      </c>
      <c r="N12" s="10">
        <v>0</v>
      </c>
      <c r="O12" s="5" t="str">
        <f t="shared" ca="1" si="0"/>
        <v/>
      </c>
      <c r="P12" s="5" t="str">
        <f t="shared" ca="1" si="1"/>
        <v>Sin fecha</v>
      </c>
      <c r="Q12" s="4"/>
      <c r="R12" s="4"/>
      <c r="S12" s="1"/>
      <c r="T12" s="1"/>
      <c r="U12" s="1"/>
      <c r="V12" s="1"/>
      <c r="W12" s="1"/>
      <c r="X12" s="1"/>
      <c r="Y12" s="1"/>
      <c r="Z12" s="1"/>
    </row>
    <row r="13" spans="1:26" ht="25.5">
      <c r="A13" s="4">
        <v>7</v>
      </c>
      <c r="B13" s="8" t="s">
        <v>66</v>
      </c>
      <c r="C13" s="8" t="s">
        <v>21</v>
      </c>
      <c r="D13" s="8" t="s">
        <v>91</v>
      </c>
      <c r="E13" s="8" t="s">
        <v>92</v>
      </c>
      <c r="F13" s="8" t="s">
        <v>83</v>
      </c>
      <c r="G13" s="8" t="s">
        <v>93</v>
      </c>
      <c r="H13" s="8" t="s">
        <v>94</v>
      </c>
      <c r="I13" s="8" t="s">
        <v>29</v>
      </c>
      <c r="J13" s="9"/>
      <c r="K13" s="9"/>
      <c r="L13" s="9"/>
      <c r="M13" s="8" t="s">
        <v>72</v>
      </c>
      <c r="N13" s="10">
        <v>0</v>
      </c>
      <c r="O13" s="5" t="str">
        <f t="shared" ca="1" si="0"/>
        <v/>
      </c>
      <c r="P13" s="5" t="str">
        <f t="shared" ca="1" si="1"/>
        <v>Sin fecha</v>
      </c>
      <c r="Q13" s="4"/>
      <c r="R13" s="4"/>
      <c r="S13" s="1"/>
      <c r="T13" s="1"/>
      <c r="U13" s="1"/>
      <c r="V13" s="1"/>
      <c r="W13" s="1"/>
      <c r="X13" s="1"/>
      <c r="Y13" s="1"/>
      <c r="Z13" s="1"/>
    </row>
    <row r="14" spans="1:26">
      <c r="A14" s="4">
        <v>8</v>
      </c>
      <c r="B14" s="8" t="s">
        <v>66</v>
      </c>
      <c r="C14" s="8" t="s">
        <v>27</v>
      </c>
      <c r="D14" s="8" t="s">
        <v>95</v>
      </c>
      <c r="E14" s="8" t="s">
        <v>96</v>
      </c>
      <c r="F14" s="8" t="s">
        <v>29</v>
      </c>
      <c r="G14" s="8" t="s">
        <v>86</v>
      </c>
      <c r="H14" s="8" t="s">
        <v>97</v>
      </c>
      <c r="I14" s="8" t="s">
        <v>69</v>
      </c>
      <c r="J14" s="9"/>
      <c r="K14" s="9"/>
      <c r="L14" s="9"/>
      <c r="M14" s="8" t="s">
        <v>72</v>
      </c>
      <c r="N14" s="10">
        <v>0</v>
      </c>
      <c r="O14" s="5" t="str">
        <f t="shared" ca="1" si="0"/>
        <v/>
      </c>
      <c r="P14" s="5" t="str">
        <f t="shared" ca="1" si="1"/>
        <v>Sin fecha</v>
      </c>
      <c r="Q14" s="4"/>
      <c r="R14" s="4"/>
      <c r="S14" s="1"/>
      <c r="T14" s="1"/>
      <c r="U14" s="1"/>
      <c r="V14" s="1"/>
      <c r="W14" s="1"/>
      <c r="X14" s="1"/>
      <c r="Y14" s="1"/>
      <c r="Z14" s="1"/>
    </row>
    <row r="15" spans="1:26">
      <c r="A15" s="4">
        <v>9</v>
      </c>
      <c r="B15" s="8" t="s">
        <v>66</v>
      </c>
      <c r="C15" s="8" t="s">
        <v>27</v>
      </c>
      <c r="D15" s="8" t="s">
        <v>98</v>
      </c>
      <c r="E15" s="8" t="s">
        <v>99</v>
      </c>
      <c r="F15" s="8" t="s">
        <v>29</v>
      </c>
      <c r="G15" s="8" t="s">
        <v>86</v>
      </c>
      <c r="H15" s="8" t="s">
        <v>100</v>
      </c>
      <c r="I15" s="8" t="s">
        <v>69</v>
      </c>
      <c r="J15" s="9"/>
      <c r="K15" s="9"/>
      <c r="L15" s="9"/>
      <c r="M15" s="8" t="s">
        <v>72</v>
      </c>
      <c r="N15" s="10">
        <v>0</v>
      </c>
      <c r="O15" s="5" t="str">
        <f t="shared" ca="1" si="0"/>
        <v/>
      </c>
      <c r="P15" s="5" t="str">
        <f t="shared" ca="1" si="1"/>
        <v>Sin fecha</v>
      </c>
      <c r="Q15" s="4"/>
      <c r="R15" s="4"/>
      <c r="S15" s="1"/>
      <c r="T15" s="1"/>
      <c r="U15" s="1"/>
      <c r="V15" s="1"/>
      <c r="W15" s="1"/>
      <c r="X15" s="1"/>
      <c r="Y15" s="1"/>
      <c r="Z15" s="1"/>
    </row>
    <row r="16" spans="1:26">
      <c r="A16" s="4">
        <v>10</v>
      </c>
      <c r="B16" s="8" t="s">
        <v>66</v>
      </c>
      <c r="C16" s="8" t="s">
        <v>33</v>
      </c>
      <c r="D16" s="8" t="s">
        <v>101</v>
      </c>
      <c r="E16" s="8" t="s">
        <v>102</v>
      </c>
      <c r="F16" s="8" t="s">
        <v>35</v>
      </c>
      <c r="G16" s="8" t="s">
        <v>103</v>
      </c>
      <c r="H16" s="8" t="s">
        <v>104</v>
      </c>
      <c r="I16" s="8" t="s">
        <v>105</v>
      </c>
      <c r="J16" s="9"/>
      <c r="K16" s="9"/>
      <c r="L16" s="9"/>
      <c r="M16" s="8" t="s">
        <v>72</v>
      </c>
      <c r="N16" s="10">
        <v>0</v>
      </c>
      <c r="O16" s="5" t="str">
        <f t="shared" ca="1" si="0"/>
        <v/>
      </c>
      <c r="P16" s="5" t="str">
        <f t="shared" ca="1" si="1"/>
        <v>Sin fecha</v>
      </c>
      <c r="Q16" s="4"/>
      <c r="R16" s="4"/>
      <c r="S16" s="1"/>
      <c r="T16" s="1"/>
      <c r="U16" s="1"/>
      <c r="V16" s="1"/>
      <c r="W16" s="1"/>
      <c r="X16" s="1"/>
      <c r="Y16" s="1"/>
      <c r="Z16" s="1"/>
    </row>
    <row r="17" spans="1:26" ht="25.5">
      <c r="A17" s="4">
        <v>11</v>
      </c>
      <c r="B17" s="8" t="s">
        <v>66</v>
      </c>
      <c r="C17" s="8" t="s">
        <v>33</v>
      </c>
      <c r="D17" s="8" t="s">
        <v>106</v>
      </c>
      <c r="E17" s="8" t="s">
        <v>107</v>
      </c>
      <c r="F17" s="8" t="s">
        <v>94</v>
      </c>
      <c r="G17" s="8" t="s">
        <v>103</v>
      </c>
      <c r="H17" s="8" t="s">
        <v>108</v>
      </c>
      <c r="I17" s="8" t="s">
        <v>109</v>
      </c>
      <c r="J17" s="9"/>
      <c r="K17" s="9"/>
      <c r="L17" s="9"/>
      <c r="M17" s="8" t="s">
        <v>72</v>
      </c>
      <c r="N17" s="10">
        <v>0</v>
      </c>
      <c r="O17" s="5" t="str">
        <f t="shared" ca="1" si="0"/>
        <v/>
      </c>
      <c r="P17" s="5" t="str">
        <f t="shared" ca="1" si="1"/>
        <v>Sin fecha</v>
      </c>
      <c r="Q17" s="4"/>
      <c r="R17" s="4"/>
      <c r="S17" s="1"/>
      <c r="T17" s="1"/>
      <c r="U17" s="1"/>
      <c r="V17" s="1"/>
      <c r="W17" s="1"/>
      <c r="X17" s="1"/>
      <c r="Y17" s="1"/>
      <c r="Z17" s="1"/>
    </row>
    <row r="18" spans="1:26">
      <c r="A18" s="4">
        <v>12</v>
      </c>
      <c r="B18" s="8" t="s">
        <v>66</v>
      </c>
      <c r="C18" s="8" t="s">
        <v>33</v>
      </c>
      <c r="D18" s="8" t="s">
        <v>110</v>
      </c>
      <c r="E18" s="8" t="s">
        <v>111</v>
      </c>
      <c r="F18" s="8" t="s">
        <v>35</v>
      </c>
      <c r="G18" s="8" t="s">
        <v>69</v>
      </c>
      <c r="H18" s="8" t="s">
        <v>104</v>
      </c>
      <c r="I18" s="8" t="s">
        <v>105</v>
      </c>
      <c r="J18" s="9"/>
      <c r="K18" s="9"/>
      <c r="L18" s="9"/>
      <c r="M18" s="8" t="s">
        <v>72</v>
      </c>
      <c r="N18" s="10">
        <v>0</v>
      </c>
      <c r="O18" s="5" t="str">
        <f t="shared" ca="1" si="0"/>
        <v/>
      </c>
      <c r="P18" s="5" t="str">
        <f t="shared" ca="1" si="1"/>
        <v>Sin fecha</v>
      </c>
      <c r="Q18" s="4"/>
      <c r="R18" s="4"/>
      <c r="S18" s="1"/>
      <c r="T18" s="1"/>
      <c r="U18" s="1"/>
      <c r="V18" s="1"/>
      <c r="W18" s="1"/>
      <c r="X18" s="1"/>
      <c r="Y18" s="1"/>
      <c r="Z18" s="1"/>
    </row>
    <row r="19" spans="1:26">
      <c r="A19" s="4">
        <v>13</v>
      </c>
      <c r="B19" s="8" t="s">
        <v>66</v>
      </c>
      <c r="C19" s="8" t="s">
        <v>112</v>
      </c>
      <c r="D19" s="8" t="s">
        <v>113</v>
      </c>
      <c r="E19" s="8" t="s">
        <v>114</v>
      </c>
      <c r="F19" s="8" t="s">
        <v>29</v>
      </c>
      <c r="G19" s="8" t="s">
        <v>115</v>
      </c>
      <c r="H19" s="8" t="s">
        <v>116</v>
      </c>
      <c r="I19" s="8" t="s">
        <v>69</v>
      </c>
      <c r="J19" s="9"/>
      <c r="K19" s="9"/>
      <c r="L19" s="9"/>
      <c r="M19" s="8" t="s">
        <v>72</v>
      </c>
      <c r="N19" s="10">
        <v>0</v>
      </c>
      <c r="O19" s="5" t="str">
        <f t="shared" ca="1" si="0"/>
        <v/>
      </c>
      <c r="P19" s="5" t="str">
        <f t="shared" ca="1" si="1"/>
        <v>Sin fecha</v>
      </c>
      <c r="Q19" s="4"/>
      <c r="R19" s="4"/>
      <c r="S19" s="1"/>
      <c r="T19" s="1"/>
      <c r="U19" s="1"/>
      <c r="V19" s="1"/>
      <c r="W19" s="1"/>
      <c r="X19" s="1"/>
      <c r="Y19" s="1"/>
      <c r="Z19" s="1"/>
    </row>
    <row r="20" spans="1:26" ht="25.5">
      <c r="A20" s="4">
        <v>14</v>
      </c>
      <c r="B20" s="8" t="s">
        <v>66</v>
      </c>
      <c r="C20" s="8" t="s">
        <v>112</v>
      </c>
      <c r="D20" s="8" t="s">
        <v>117</v>
      </c>
      <c r="E20" s="8" t="s">
        <v>118</v>
      </c>
      <c r="F20" s="8" t="s">
        <v>29</v>
      </c>
      <c r="G20" s="8" t="s">
        <v>69</v>
      </c>
      <c r="H20" s="8" t="s">
        <v>119</v>
      </c>
      <c r="I20" s="8" t="s">
        <v>105</v>
      </c>
      <c r="J20" s="9"/>
      <c r="K20" s="9"/>
      <c r="L20" s="9"/>
      <c r="M20" s="8" t="s">
        <v>72</v>
      </c>
      <c r="N20" s="10">
        <v>0</v>
      </c>
      <c r="O20" s="5" t="str">
        <f t="shared" ca="1" si="0"/>
        <v/>
      </c>
      <c r="P20" s="5" t="str">
        <f t="shared" ca="1" si="1"/>
        <v>Sin fecha</v>
      </c>
      <c r="Q20" s="4"/>
      <c r="R20" s="4"/>
      <c r="S20" s="1"/>
      <c r="T20" s="1"/>
      <c r="U20" s="1"/>
      <c r="V20" s="1"/>
      <c r="W20" s="1"/>
      <c r="X20" s="1"/>
      <c r="Y20" s="1"/>
      <c r="Z20" s="1"/>
    </row>
    <row r="21" spans="1:26">
      <c r="A21" s="4">
        <v>15</v>
      </c>
      <c r="B21" s="8" t="s">
        <v>66</v>
      </c>
      <c r="C21" s="8" t="s">
        <v>120</v>
      </c>
      <c r="D21" s="8" t="s">
        <v>121</v>
      </c>
      <c r="E21" s="8" t="s">
        <v>122</v>
      </c>
      <c r="F21" s="8" t="s">
        <v>123</v>
      </c>
      <c r="G21" s="8" t="s">
        <v>69</v>
      </c>
      <c r="H21" s="8" t="s">
        <v>124</v>
      </c>
      <c r="I21" s="8" t="s">
        <v>125</v>
      </c>
      <c r="J21" s="9"/>
      <c r="K21" s="9"/>
      <c r="L21" s="9"/>
      <c r="M21" s="8" t="s">
        <v>72</v>
      </c>
      <c r="N21" s="10">
        <v>0</v>
      </c>
      <c r="O21" s="5" t="str">
        <f t="shared" ca="1" si="0"/>
        <v/>
      </c>
      <c r="P21" s="5" t="str">
        <f t="shared" ca="1" si="1"/>
        <v>Sin fecha</v>
      </c>
      <c r="Q21" s="4"/>
      <c r="R21" s="4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8"/>
      <c r="C22" s="8"/>
      <c r="D22" s="8"/>
      <c r="E22" s="8"/>
      <c r="F22" s="8"/>
      <c r="G22" s="8"/>
      <c r="H22" s="8"/>
      <c r="I22" s="8"/>
      <c r="J22" s="9"/>
      <c r="K22" s="9"/>
      <c r="L22" s="9"/>
      <c r="M22" s="8"/>
      <c r="N22" s="10"/>
      <c r="O22" s="5" t="str">
        <f t="shared" ca="1" si="0"/>
        <v/>
      </c>
      <c r="P22" s="5" t="str">
        <f t="shared" ca="1" si="1"/>
        <v>Sin fecha</v>
      </c>
      <c r="Q22" s="4"/>
      <c r="R22" s="4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8"/>
      <c r="C23" s="8"/>
      <c r="D23" s="8"/>
      <c r="E23" s="8"/>
      <c r="F23" s="8"/>
      <c r="G23" s="8"/>
      <c r="H23" s="8"/>
      <c r="I23" s="8"/>
      <c r="J23" s="9"/>
      <c r="K23" s="9"/>
      <c r="L23" s="9"/>
      <c r="M23" s="8"/>
      <c r="N23" s="10"/>
      <c r="O23" s="5" t="str">
        <f t="shared" ca="1" si="0"/>
        <v/>
      </c>
      <c r="P23" s="5" t="str">
        <f t="shared" ca="1" si="1"/>
        <v>Sin fecha</v>
      </c>
      <c r="Q23" s="4"/>
      <c r="R23" s="4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8"/>
      <c r="C24" s="8"/>
      <c r="D24" s="8"/>
      <c r="E24" s="8"/>
      <c r="F24" s="8"/>
      <c r="G24" s="8"/>
      <c r="H24" s="8"/>
      <c r="I24" s="8"/>
      <c r="J24" s="9"/>
      <c r="K24" s="9"/>
      <c r="L24" s="9"/>
      <c r="M24" s="8"/>
      <c r="N24" s="10"/>
      <c r="O24" s="5" t="str">
        <f t="shared" ca="1" si="0"/>
        <v/>
      </c>
      <c r="P24" s="5" t="str">
        <f t="shared" ca="1" si="1"/>
        <v>Sin fecha</v>
      </c>
      <c r="Q24" s="4"/>
      <c r="R24" s="4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8"/>
      <c r="C25" s="8"/>
      <c r="D25" s="8"/>
      <c r="E25" s="8"/>
      <c r="F25" s="8"/>
      <c r="G25" s="8"/>
      <c r="H25" s="8"/>
      <c r="I25" s="8"/>
      <c r="J25" s="9"/>
      <c r="K25" s="9"/>
      <c r="L25" s="9"/>
      <c r="M25" s="8"/>
      <c r="N25" s="10"/>
      <c r="O25" s="5" t="str">
        <f t="shared" ca="1" si="0"/>
        <v/>
      </c>
      <c r="P25" s="5" t="str">
        <f t="shared" ca="1" si="1"/>
        <v>Sin fecha</v>
      </c>
      <c r="Q25" s="4"/>
      <c r="R25" s="4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8"/>
      <c r="C26" s="8"/>
      <c r="D26" s="8"/>
      <c r="E26" s="8"/>
      <c r="F26" s="8"/>
      <c r="G26" s="8"/>
      <c r="H26" s="8"/>
      <c r="I26" s="8"/>
      <c r="J26" s="9"/>
      <c r="K26" s="9"/>
      <c r="L26" s="9"/>
      <c r="M26" s="8"/>
      <c r="N26" s="10"/>
      <c r="O26" s="5" t="str">
        <f t="shared" ca="1" si="0"/>
        <v/>
      </c>
      <c r="P26" s="5" t="str">
        <f t="shared" ca="1" si="1"/>
        <v>Sin fecha</v>
      </c>
      <c r="Q26" s="4"/>
      <c r="R26" s="4"/>
      <c r="S26" s="1"/>
      <c r="T26" s="1"/>
      <c r="U26" s="1"/>
      <c r="V26" s="1"/>
      <c r="W26" s="1"/>
      <c r="X26" s="1"/>
      <c r="Y26" s="1"/>
      <c r="Z26" s="1"/>
    </row>
    <row r="27" spans="1:26">
      <c r="A27" s="4"/>
      <c r="B27" s="8"/>
      <c r="C27" s="8"/>
      <c r="D27" s="8"/>
      <c r="E27" s="8"/>
      <c r="F27" s="8"/>
      <c r="G27" s="8"/>
      <c r="H27" s="8"/>
      <c r="I27" s="8"/>
      <c r="J27" s="9"/>
      <c r="K27" s="9"/>
      <c r="L27" s="9"/>
      <c r="M27" s="8"/>
      <c r="N27" s="10"/>
      <c r="O27" s="5" t="str">
        <f t="shared" ca="1" si="0"/>
        <v/>
      </c>
      <c r="P27" s="5" t="str">
        <f t="shared" ca="1" si="1"/>
        <v>Sin fecha</v>
      </c>
      <c r="Q27" s="4"/>
      <c r="R27" s="4"/>
      <c r="S27" s="1"/>
      <c r="T27" s="1"/>
      <c r="U27" s="1"/>
      <c r="V27" s="1"/>
      <c r="W27" s="1"/>
      <c r="X27" s="1"/>
      <c r="Y27" s="1"/>
      <c r="Z27" s="1"/>
    </row>
    <row r="28" spans="1:26">
      <c r="A28" s="4"/>
      <c r="B28" s="8"/>
      <c r="C28" s="8"/>
      <c r="D28" s="8"/>
      <c r="E28" s="8"/>
      <c r="F28" s="8"/>
      <c r="G28" s="8"/>
      <c r="H28" s="8"/>
      <c r="I28" s="8"/>
      <c r="J28" s="9"/>
      <c r="K28" s="9"/>
      <c r="L28" s="9"/>
      <c r="M28" s="8"/>
      <c r="N28" s="10"/>
      <c r="O28" s="5" t="str">
        <f t="shared" ca="1" si="0"/>
        <v/>
      </c>
      <c r="P28" s="5" t="str">
        <f t="shared" ca="1" si="1"/>
        <v>Sin fecha</v>
      </c>
      <c r="Q28" s="4"/>
      <c r="R28" s="4"/>
      <c r="S28" s="1"/>
      <c r="T28" s="1"/>
      <c r="U28" s="1"/>
      <c r="V28" s="1"/>
      <c r="W28" s="1"/>
      <c r="X28" s="1"/>
      <c r="Y28" s="1"/>
      <c r="Z28" s="1"/>
    </row>
    <row r="29" spans="1:26">
      <c r="A29" s="4"/>
      <c r="B29" s="8"/>
      <c r="C29" s="8"/>
      <c r="D29" s="8"/>
      <c r="E29" s="8"/>
      <c r="F29" s="8"/>
      <c r="G29" s="8"/>
      <c r="H29" s="8"/>
      <c r="I29" s="8"/>
      <c r="J29" s="9"/>
      <c r="K29" s="9"/>
      <c r="L29" s="9"/>
      <c r="M29" s="8"/>
      <c r="N29" s="10"/>
      <c r="O29" s="5" t="str">
        <f t="shared" ca="1" si="0"/>
        <v/>
      </c>
      <c r="P29" s="5" t="str">
        <f t="shared" ca="1" si="1"/>
        <v>Sin fecha</v>
      </c>
      <c r="Q29" s="4"/>
      <c r="R29" s="4"/>
      <c r="S29" s="1"/>
      <c r="T29" s="1"/>
      <c r="U29" s="1"/>
      <c r="V29" s="1"/>
      <c r="W29" s="1"/>
      <c r="X29" s="1"/>
      <c r="Y29" s="1"/>
      <c r="Z29" s="1"/>
    </row>
    <row r="30" spans="1:26">
      <c r="A30" s="4"/>
      <c r="B30" s="8"/>
      <c r="C30" s="8"/>
      <c r="D30" s="8"/>
      <c r="E30" s="8"/>
      <c r="F30" s="8"/>
      <c r="G30" s="8"/>
      <c r="H30" s="8"/>
      <c r="I30" s="8"/>
      <c r="J30" s="9"/>
      <c r="K30" s="9"/>
      <c r="L30" s="9"/>
      <c r="M30" s="8"/>
      <c r="N30" s="10"/>
      <c r="O30" s="5" t="str">
        <f t="shared" ca="1" si="0"/>
        <v/>
      </c>
      <c r="P30" s="5" t="str">
        <f t="shared" ca="1" si="1"/>
        <v>Sin fecha</v>
      </c>
      <c r="Q30" s="4"/>
      <c r="R30" s="4"/>
      <c r="S30" s="1"/>
      <c r="T30" s="1"/>
      <c r="U30" s="1"/>
      <c r="V30" s="1"/>
      <c r="W30" s="1"/>
      <c r="X30" s="1"/>
      <c r="Y30" s="1"/>
      <c r="Z30" s="1"/>
    </row>
    <row r="31" spans="1:26">
      <c r="A31" s="4"/>
      <c r="B31" s="8"/>
      <c r="C31" s="8"/>
      <c r="D31" s="8"/>
      <c r="E31" s="8"/>
      <c r="F31" s="8"/>
      <c r="G31" s="8"/>
      <c r="H31" s="8"/>
      <c r="I31" s="8"/>
      <c r="J31" s="9"/>
      <c r="K31" s="9"/>
      <c r="L31" s="9"/>
      <c r="M31" s="8"/>
      <c r="N31" s="10"/>
      <c r="O31" s="5" t="str">
        <f t="shared" ca="1" si="0"/>
        <v/>
      </c>
      <c r="P31" s="5" t="str">
        <f t="shared" ca="1" si="1"/>
        <v>Sin fecha</v>
      </c>
      <c r="Q31" s="4"/>
      <c r="R31" s="4"/>
      <c r="S31" s="1"/>
      <c r="T31" s="1"/>
      <c r="U31" s="1"/>
      <c r="V31" s="1"/>
      <c r="W31" s="1"/>
      <c r="X31" s="1"/>
      <c r="Y31" s="1"/>
      <c r="Z31" s="1"/>
    </row>
    <row r="32" spans="1:26">
      <c r="A32" s="4"/>
      <c r="B32" s="8"/>
      <c r="C32" s="8"/>
      <c r="D32" s="8"/>
      <c r="E32" s="8"/>
      <c r="F32" s="8"/>
      <c r="G32" s="8"/>
      <c r="H32" s="8"/>
      <c r="I32" s="8"/>
      <c r="J32" s="9"/>
      <c r="K32" s="9"/>
      <c r="L32" s="9"/>
      <c r="M32" s="8"/>
      <c r="N32" s="10"/>
      <c r="O32" s="5" t="str">
        <f t="shared" ca="1" si="0"/>
        <v/>
      </c>
      <c r="P32" s="5" t="str">
        <f t="shared" ca="1" si="1"/>
        <v>Sin fecha</v>
      </c>
      <c r="Q32" s="4"/>
      <c r="R32" s="4"/>
      <c r="S32" s="1"/>
      <c r="T32" s="1"/>
      <c r="U32" s="1"/>
      <c r="V32" s="1"/>
      <c r="W32" s="1"/>
      <c r="X32" s="1"/>
      <c r="Y32" s="1"/>
      <c r="Z32" s="1"/>
    </row>
    <row r="33" spans="1:26">
      <c r="A33" s="4"/>
      <c r="B33" s="8"/>
      <c r="C33" s="8"/>
      <c r="D33" s="8"/>
      <c r="E33" s="8"/>
      <c r="F33" s="8"/>
      <c r="G33" s="8"/>
      <c r="H33" s="8"/>
      <c r="I33" s="8"/>
      <c r="J33" s="9"/>
      <c r="K33" s="9"/>
      <c r="L33" s="9"/>
      <c r="M33" s="8"/>
      <c r="N33" s="10"/>
      <c r="O33" s="5" t="str">
        <f t="shared" ca="1" si="0"/>
        <v/>
      </c>
      <c r="P33" s="5" t="str">
        <f t="shared" ca="1" si="1"/>
        <v>Sin fecha</v>
      </c>
      <c r="Q33" s="4"/>
      <c r="R33" s="4"/>
      <c r="S33" s="1"/>
      <c r="T33" s="1"/>
      <c r="U33" s="1"/>
      <c r="V33" s="1"/>
      <c r="W33" s="1"/>
      <c r="X33" s="1"/>
      <c r="Y33" s="1"/>
      <c r="Z33" s="1"/>
    </row>
    <row r="34" spans="1:26">
      <c r="A34" s="4"/>
      <c r="B34" s="8"/>
      <c r="C34" s="8"/>
      <c r="D34" s="8"/>
      <c r="E34" s="8"/>
      <c r="F34" s="8"/>
      <c r="G34" s="8"/>
      <c r="H34" s="8"/>
      <c r="I34" s="8"/>
      <c r="J34" s="9"/>
      <c r="K34" s="9"/>
      <c r="L34" s="9"/>
      <c r="M34" s="8"/>
      <c r="N34" s="10"/>
      <c r="O34" s="5" t="str">
        <f t="shared" ca="1" si="0"/>
        <v/>
      </c>
      <c r="P34" s="5" t="str">
        <f t="shared" ca="1" si="1"/>
        <v>Sin fecha</v>
      </c>
      <c r="Q34" s="4"/>
      <c r="R34" s="4"/>
      <c r="S34" s="1"/>
      <c r="T34" s="1"/>
      <c r="U34" s="1"/>
      <c r="V34" s="1"/>
      <c r="W34" s="1"/>
      <c r="X34" s="1"/>
      <c r="Y34" s="1"/>
      <c r="Z34" s="1"/>
    </row>
    <row r="35" spans="1:26">
      <c r="A35" s="4"/>
      <c r="B35" s="8"/>
      <c r="C35" s="8"/>
      <c r="D35" s="8"/>
      <c r="E35" s="8"/>
      <c r="F35" s="8"/>
      <c r="G35" s="8"/>
      <c r="H35" s="8"/>
      <c r="I35" s="8"/>
      <c r="J35" s="9"/>
      <c r="K35" s="9"/>
      <c r="L35" s="9"/>
      <c r="M35" s="8"/>
      <c r="N35" s="10"/>
      <c r="O35" s="5" t="str">
        <f t="shared" ca="1" si="0"/>
        <v/>
      </c>
      <c r="P35" s="5" t="str">
        <f t="shared" ca="1" si="1"/>
        <v>Sin fecha</v>
      </c>
      <c r="Q35" s="4"/>
      <c r="R35" s="4"/>
      <c r="S35" s="1"/>
      <c r="T35" s="1"/>
      <c r="U35" s="1"/>
      <c r="V35" s="1"/>
      <c r="W35" s="1"/>
      <c r="X35" s="1"/>
      <c r="Y35" s="1"/>
      <c r="Z35" s="1"/>
    </row>
    <row r="36" spans="1:26">
      <c r="A36" s="4"/>
      <c r="B36" s="8"/>
      <c r="C36" s="8"/>
      <c r="D36" s="8"/>
      <c r="E36" s="8"/>
      <c r="F36" s="8"/>
      <c r="G36" s="8"/>
      <c r="H36" s="8"/>
      <c r="I36" s="8"/>
      <c r="J36" s="9"/>
      <c r="K36" s="9"/>
      <c r="L36" s="9"/>
      <c r="M36" s="8"/>
      <c r="N36" s="10"/>
      <c r="O36" s="5" t="str">
        <f t="shared" ca="1" si="0"/>
        <v/>
      </c>
      <c r="P36" s="5" t="str">
        <f t="shared" ca="1" si="1"/>
        <v>Sin fecha</v>
      </c>
      <c r="Q36" s="4"/>
      <c r="R36" s="4"/>
      <c r="S36" s="1"/>
      <c r="T36" s="1"/>
      <c r="U36" s="1"/>
      <c r="V36" s="1"/>
      <c r="W36" s="1"/>
      <c r="X36" s="1"/>
      <c r="Y36" s="1"/>
      <c r="Z36" s="1"/>
    </row>
    <row r="37" spans="1:26">
      <c r="A37" s="4"/>
      <c r="B37" s="8"/>
      <c r="C37" s="8"/>
      <c r="D37" s="8"/>
      <c r="E37" s="8"/>
      <c r="F37" s="8"/>
      <c r="G37" s="8"/>
      <c r="H37" s="8"/>
      <c r="I37" s="8"/>
      <c r="J37" s="9"/>
      <c r="K37" s="9"/>
      <c r="L37" s="9"/>
      <c r="M37" s="8"/>
      <c r="N37" s="10"/>
      <c r="O37" s="5" t="str">
        <f t="shared" ca="1" si="0"/>
        <v/>
      </c>
      <c r="P37" s="5" t="str">
        <f t="shared" ca="1" si="1"/>
        <v>Sin fecha</v>
      </c>
      <c r="Q37" s="4"/>
      <c r="R37" s="4"/>
      <c r="S37" s="1"/>
      <c r="T37" s="1"/>
      <c r="U37" s="1"/>
      <c r="V37" s="1"/>
      <c r="W37" s="1"/>
      <c r="X37" s="1"/>
      <c r="Y37" s="1"/>
      <c r="Z37" s="1"/>
    </row>
    <row r="38" spans="1:26">
      <c r="A38" s="4"/>
      <c r="B38" s="8"/>
      <c r="C38" s="8"/>
      <c r="D38" s="8"/>
      <c r="E38" s="8"/>
      <c r="F38" s="8"/>
      <c r="G38" s="8"/>
      <c r="H38" s="8"/>
      <c r="I38" s="8"/>
      <c r="J38" s="9"/>
      <c r="K38" s="9"/>
      <c r="L38" s="9"/>
      <c r="M38" s="8"/>
      <c r="N38" s="10"/>
      <c r="O38" s="5" t="str">
        <f t="shared" ca="1" si="0"/>
        <v/>
      </c>
      <c r="P38" s="5" t="str">
        <f t="shared" ca="1" si="1"/>
        <v>Sin fecha</v>
      </c>
      <c r="Q38" s="4"/>
      <c r="R38" s="4"/>
      <c r="S38" s="1"/>
      <c r="T38" s="1"/>
      <c r="U38" s="1"/>
      <c r="V38" s="1"/>
      <c r="W38" s="1"/>
      <c r="X38" s="1"/>
      <c r="Y38" s="1"/>
      <c r="Z38" s="1"/>
    </row>
    <row r="39" spans="1:26">
      <c r="A39" s="4"/>
      <c r="B39" s="8"/>
      <c r="C39" s="8"/>
      <c r="D39" s="8"/>
      <c r="E39" s="8"/>
      <c r="F39" s="8"/>
      <c r="G39" s="8"/>
      <c r="H39" s="8"/>
      <c r="I39" s="8"/>
      <c r="J39" s="9"/>
      <c r="K39" s="9"/>
      <c r="L39" s="9"/>
      <c r="M39" s="8"/>
      <c r="N39" s="10"/>
      <c r="O39" s="5" t="str">
        <f t="shared" ref="O39:O70" ca="1" si="2">IF(K39="","",K39-TODAY())</f>
        <v/>
      </c>
      <c r="P39" s="5" t="str">
        <f t="shared" ref="P39:P70" ca="1" si="3">IF(M39="Cerrado","Verde",IF(K39="","Sin fecha",IF(K39&lt;TODAY(),"Rojo",IF(K39-TODAY()&lt;=3,"Amarillo","Verde"))))</f>
        <v>Sin fecha</v>
      </c>
      <c r="Q39" s="4"/>
      <c r="R39" s="4"/>
      <c r="S39" s="1"/>
      <c r="T39" s="1"/>
      <c r="U39" s="1"/>
      <c r="V39" s="1"/>
      <c r="W39" s="1"/>
      <c r="X39" s="1"/>
      <c r="Y39" s="1"/>
      <c r="Z39" s="1"/>
    </row>
    <row r="40" spans="1:26">
      <c r="A40" s="4"/>
      <c r="B40" s="8"/>
      <c r="C40" s="8"/>
      <c r="D40" s="8"/>
      <c r="E40" s="8"/>
      <c r="F40" s="8"/>
      <c r="G40" s="8"/>
      <c r="H40" s="8"/>
      <c r="I40" s="8"/>
      <c r="J40" s="9"/>
      <c r="K40" s="9"/>
      <c r="L40" s="9"/>
      <c r="M40" s="8"/>
      <c r="N40" s="10"/>
      <c r="O40" s="5" t="str">
        <f t="shared" ca="1" si="2"/>
        <v/>
      </c>
      <c r="P40" s="5" t="str">
        <f t="shared" ca="1" si="3"/>
        <v>Sin fecha</v>
      </c>
      <c r="Q40" s="4"/>
      <c r="R40" s="4"/>
      <c r="S40" s="1"/>
      <c r="T40" s="1"/>
      <c r="U40" s="1"/>
      <c r="V40" s="1"/>
      <c r="W40" s="1"/>
      <c r="X40" s="1"/>
      <c r="Y40" s="1"/>
      <c r="Z40" s="1"/>
    </row>
    <row r="41" spans="1:26">
      <c r="A41" s="4"/>
      <c r="B41" s="8"/>
      <c r="C41" s="8"/>
      <c r="D41" s="8"/>
      <c r="E41" s="8"/>
      <c r="F41" s="8"/>
      <c r="G41" s="8"/>
      <c r="H41" s="8"/>
      <c r="I41" s="8"/>
      <c r="J41" s="9"/>
      <c r="K41" s="9"/>
      <c r="L41" s="9"/>
      <c r="M41" s="8"/>
      <c r="N41" s="10"/>
      <c r="O41" s="5" t="str">
        <f t="shared" ca="1" si="2"/>
        <v/>
      </c>
      <c r="P41" s="5" t="str">
        <f t="shared" ca="1" si="3"/>
        <v>Sin fecha</v>
      </c>
      <c r="Q41" s="4"/>
      <c r="R41" s="4"/>
      <c r="S41" s="1"/>
      <c r="T41" s="1"/>
      <c r="U41" s="1"/>
      <c r="V41" s="1"/>
      <c r="W41" s="1"/>
      <c r="X41" s="1"/>
      <c r="Y41" s="1"/>
      <c r="Z41" s="1"/>
    </row>
    <row r="42" spans="1:26">
      <c r="A42" s="4"/>
      <c r="B42" s="8"/>
      <c r="C42" s="8"/>
      <c r="D42" s="8"/>
      <c r="E42" s="8"/>
      <c r="F42" s="8"/>
      <c r="G42" s="8"/>
      <c r="H42" s="8"/>
      <c r="I42" s="8"/>
      <c r="J42" s="9"/>
      <c r="K42" s="9"/>
      <c r="L42" s="9"/>
      <c r="M42" s="8"/>
      <c r="N42" s="10"/>
      <c r="O42" s="5" t="str">
        <f t="shared" ca="1" si="2"/>
        <v/>
      </c>
      <c r="P42" s="5" t="str">
        <f t="shared" ca="1" si="3"/>
        <v>Sin fecha</v>
      </c>
      <c r="Q42" s="4"/>
      <c r="R42" s="4"/>
      <c r="S42" s="1"/>
      <c r="T42" s="1"/>
      <c r="U42" s="1"/>
      <c r="V42" s="1"/>
      <c r="W42" s="1"/>
      <c r="X42" s="1"/>
      <c r="Y42" s="1"/>
      <c r="Z42" s="1"/>
    </row>
    <row r="43" spans="1:26">
      <c r="A43" s="4"/>
      <c r="B43" s="8"/>
      <c r="C43" s="8"/>
      <c r="D43" s="8"/>
      <c r="E43" s="8"/>
      <c r="F43" s="8"/>
      <c r="G43" s="8"/>
      <c r="H43" s="8"/>
      <c r="I43" s="8"/>
      <c r="J43" s="9"/>
      <c r="K43" s="9"/>
      <c r="L43" s="9"/>
      <c r="M43" s="8"/>
      <c r="N43" s="10"/>
      <c r="O43" s="5" t="str">
        <f t="shared" ca="1" si="2"/>
        <v/>
      </c>
      <c r="P43" s="5" t="str">
        <f t="shared" ca="1" si="3"/>
        <v>Sin fecha</v>
      </c>
      <c r="Q43" s="4"/>
      <c r="R43" s="4"/>
      <c r="S43" s="1"/>
      <c r="T43" s="1"/>
      <c r="U43" s="1"/>
      <c r="V43" s="1"/>
      <c r="W43" s="1"/>
      <c r="X43" s="1"/>
      <c r="Y43" s="1"/>
      <c r="Z43" s="1"/>
    </row>
    <row r="44" spans="1:26">
      <c r="A44" s="4"/>
      <c r="B44" s="8"/>
      <c r="C44" s="8"/>
      <c r="D44" s="8"/>
      <c r="E44" s="8"/>
      <c r="F44" s="8"/>
      <c r="G44" s="8"/>
      <c r="H44" s="8"/>
      <c r="I44" s="8"/>
      <c r="J44" s="9"/>
      <c r="K44" s="9"/>
      <c r="L44" s="9"/>
      <c r="M44" s="8"/>
      <c r="N44" s="10"/>
      <c r="O44" s="5" t="str">
        <f t="shared" ca="1" si="2"/>
        <v/>
      </c>
      <c r="P44" s="5" t="str">
        <f t="shared" ca="1" si="3"/>
        <v>Sin fecha</v>
      </c>
      <c r="Q44" s="4"/>
      <c r="R44" s="4"/>
      <c r="S44" s="1"/>
      <c r="T44" s="1"/>
      <c r="U44" s="1"/>
      <c r="V44" s="1"/>
      <c r="W44" s="1"/>
      <c r="X44" s="1"/>
      <c r="Y44" s="1"/>
      <c r="Z44" s="1"/>
    </row>
    <row r="45" spans="1:26">
      <c r="A45" s="4"/>
      <c r="B45" s="8"/>
      <c r="C45" s="8"/>
      <c r="D45" s="8"/>
      <c r="E45" s="8"/>
      <c r="F45" s="8"/>
      <c r="G45" s="8"/>
      <c r="H45" s="8"/>
      <c r="I45" s="8"/>
      <c r="J45" s="9"/>
      <c r="K45" s="9"/>
      <c r="L45" s="9"/>
      <c r="M45" s="8"/>
      <c r="N45" s="10"/>
      <c r="O45" s="5" t="str">
        <f t="shared" ca="1" si="2"/>
        <v/>
      </c>
      <c r="P45" s="5" t="str">
        <f t="shared" ca="1" si="3"/>
        <v>Sin fecha</v>
      </c>
      <c r="Q45" s="4"/>
      <c r="R45" s="4"/>
      <c r="S45" s="1"/>
      <c r="T45" s="1"/>
      <c r="U45" s="1"/>
      <c r="V45" s="1"/>
      <c r="W45" s="1"/>
      <c r="X45" s="1"/>
      <c r="Y45" s="1"/>
      <c r="Z45" s="1"/>
    </row>
    <row r="46" spans="1:26">
      <c r="A46" s="4"/>
      <c r="B46" s="8"/>
      <c r="C46" s="8"/>
      <c r="D46" s="8"/>
      <c r="E46" s="8"/>
      <c r="F46" s="8"/>
      <c r="G46" s="8"/>
      <c r="H46" s="8"/>
      <c r="I46" s="8"/>
      <c r="J46" s="9"/>
      <c r="K46" s="9"/>
      <c r="L46" s="9"/>
      <c r="M46" s="8"/>
      <c r="N46" s="10"/>
      <c r="O46" s="5" t="str">
        <f t="shared" ca="1" si="2"/>
        <v/>
      </c>
      <c r="P46" s="5" t="str">
        <f t="shared" ca="1" si="3"/>
        <v>Sin fecha</v>
      </c>
      <c r="Q46" s="4"/>
      <c r="R46" s="4"/>
      <c r="S46" s="1"/>
      <c r="T46" s="1"/>
      <c r="U46" s="1"/>
      <c r="V46" s="1"/>
      <c r="W46" s="1"/>
      <c r="X46" s="1"/>
      <c r="Y46" s="1"/>
      <c r="Z46" s="1"/>
    </row>
    <row r="47" spans="1:26">
      <c r="A47" s="4"/>
      <c r="B47" s="8"/>
      <c r="C47" s="8"/>
      <c r="D47" s="8"/>
      <c r="E47" s="8"/>
      <c r="F47" s="8"/>
      <c r="G47" s="8"/>
      <c r="H47" s="8"/>
      <c r="I47" s="8"/>
      <c r="J47" s="9"/>
      <c r="K47" s="9"/>
      <c r="L47" s="9"/>
      <c r="M47" s="8"/>
      <c r="N47" s="10"/>
      <c r="O47" s="5" t="str">
        <f t="shared" ca="1" si="2"/>
        <v/>
      </c>
      <c r="P47" s="5" t="str">
        <f t="shared" ca="1" si="3"/>
        <v>Sin fecha</v>
      </c>
      <c r="Q47" s="4"/>
      <c r="R47" s="4"/>
      <c r="S47" s="1"/>
      <c r="T47" s="1"/>
      <c r="U47" s="1"/>
      <c r="V47" s="1"/>
      <c r="W47" s="1"/>
      <c r="X47" s="1"/>
      <c r="Y47" s="1"/>
      <c r="Z47" s="1"/>
    </row>
    <row r="48" spans="1:26">
      <c r="A48" s="4"/>
      <c r="B48" s="8"/>
      <c r="C48" s="8"/>
      <c r="D48" s="8"/>
      <c r="E48" s="8"/>
      <c r="F48" s="8"/>
      <c r="G48" s="8"/>
      <c r="H48" s="8"/>
      <c r="I48" s="8"/>
      <c r="J48" s="9"/>
      <c r="K48" s="9"/>
      <c r="L48" s="9"/>
      <c r="M48" s="8"/>
      <c r="N48" s="10"/>
      <c r="O48" s="5" t="str">
        <f t="shared" ca="1" si="2"/>
        <v/>
      </c>
      <c r="P48" s="5" t="str">
        <f t="shared" ca="1" si="3"/>
        <v>Sin fecha</v>
      </c>
      <c r="Q48" s="4"/>
      <c r="R48" s="4"/>
      <c r="S48" s="1"/>
      <c r="T48" s="1"/>
      <c r="U48" s="1"/>
      <c r="V48" s="1"/>
      <c r="W48" s="1"/>
      <c r="X48" s="1"/>
      <c r="Y48" s="1"/>
      <c r="Z48" s="1"/>
    </row>
    <row r="49" spans="1:26">
      <c r="A49" s="4"/>
      <c r="B49" s="8"/>
      <c r="C49" s="8"/>
      <c r="D49" s="8"/>
      <c r="E49" s="8"/>
      <c r="F49" s="8"/>
      <c r="G49" s="8"/>
      <c r="H49" s="8"/>
      <c r="I49" s="8"/>
      <c r="J49" s="9"/>
      <c r="K49" s="9"/>
      <c r="L49" s="9"/>
      <c r="M49" s="8"/>
      <c r="N49" s="10"/>
      <c r="O49" s="5" t="str">
        <f t="shared" ca="1" si="2"/>
        <v/>
      </c>
      <c r="P49" s="5" t="str">
        <f t="shared" ca="1" si="3"/>
        <v>Sin fecha</v>
      </c>
      <c r="Q49" s="4"/>
      <c r="R49" s="4"/>
      <c r="S49" s="1"/>
      <c r="T49" s="1"/>
      <c r="U49" s="1"/>
      <c r="V49" s="1"/>
      <c r="W49" s="1"/>
      <c r="X49" s="1"/>
      <c r="Y49" s="1"/>
      <c r="Z49" s="1"/>
    </row>
    <row r="50" spans="1:26">
      <c r="A50" s="4"/>
      <c r="B50" s="8"/>
      <c r="C50" s="8"/>
      <c r="D50" s="8"/>
      <c r="E50" s="8"/>
      <c r="F50" s="8"/>
      <c r="G50" s="8"/>
      <c r="H50" s="8"/>
      <c r="I50" s="8"/>
      <c r="J50" s="9"/>
      <c r="K50" s="9"/>
      <c r="L50" s="9"/>
      <c r="M50" s="8"/>
      <c r="N50" s="10"/>
      <c r="O50" s="5" t="str">
        <f t="shared" ca="1" si="2"/>
        <v/>
      </c>
      <c r="P50" s="5" t="str">
        <f t="shared" ca="1" si="3"/>
        <v>Sin fecha</v>
      </c>
      <c r="Q50" s="4"/>
      <c r="R50" s="4"/>
      <c r="S50" s="1"/>
      <c r="T50" s="1"/>
      <c r="U50" s="1"/>
      <c r="V50" s="1"/>
      <c r="W50" s="1"/>
      <c r="X50" s="1"/>
      <c r="Y50" s="1"/>
      <c r="Z50" s="1"/>
    </row>
    <row r="51" spans="1:26">
      <c r="A51" s="4"/>
      <c r="B51" s="8"/>
      <c r="C51" s="8"/>
      <c r="D51" s="8"/>
      <c r="E51" s="8"/>
      <c r="F51" s="8"/>
      <c r="G51" s="8"/>
      <c r="H51" s="8"/>
      <c r="I51" s="8"/>
      <c r="J51" s="9"/>
      <c r="K51" s="9"/>
      <c r="L51" s="9"/>
      <c r="M51" s="8"/>
      <c r="N51" s="10"/>
      <c r="O51" s="5" t="str">
        <f t="shared" ca="1" si="2"/>
        <v/>
      </c>
      <c r="P51" s="5" t="str">
        <f t="shared" ca="1" si="3"/>
        <v>Sin fecha</v>
      </c>
      <c r="Q51" s="4"/>
      <c r="R51" s="4"/>
      <c r="S51" s="1"/>
      <c r="T51" s="1"/>
      <c r="U51" s="1"/>
      <c r="V51" s="1"/>
      <c r="W51" s="1"/>
      <c r="X51" s="1"/>
      <c r="Y51" s="1"/>
      <c r="Z51" s="1"/>
    </row>
    <row r="52" spans="1:26">
      <c r="A52" s="4"/>
      <c r="B52" s="8"/>
      <c r="C52" s="8"/>
      <c r="D52" s="8"/>
      <c r="E52" s="8"/>
      <c r="F52" s="8"/>
      <c r="G52" s="8"/>
      <c r="H52" s="8"/>
      <c r="I52" s="8"/>
      <c r="J52" s="9"/>
      <c r="K52" s="9"/>
      <c r="L52" s="9"/>
      <c r="M52" s="8"/>
      <c r="N52" s="10"/>
      <c r="O52" s="5" t="str">
        <f t="shared" ca="1" si="2"/>
        <v/>
      </c>
      <c r="P52" s="5" t="str">
        <f t="shared" ca="1" si="3"/>
        <v>Sin fecha</v>
      </c>
      <c r="Q52" s="4"/>
      <c r="R52" s="4"/>
      <c r="S52" s="1"/>
      <c r="T52" s="1"/>
      <c r="U52" s="1"/>
      <c r="V52" s="1"/>
      <c r="W52" s="1"/>
      <c r="X52" s="1"/>
      <c r="Y52" s="1"/>
      <c r="Z52" s="1"/>
    </row>
    <row r="53" spans="1:26">
      <c r="A53" s="4"/>
      <c r="B53" s="8"/>
      <c r="C53" s="8"/>
      <c r="D53" s="8"/>
      <c r="E53" s="8"/>
      <c r="F53" s="8"/>
      <c r="G53" s="8"/>
      <c r="H53" s="8"/>
      <c r="I53" s="8"/>
      <c r="J53" s="9"/>
      <c r="K53" s="9"/>
      <c r="L53" s="9"/>
      <c r="M53" s="8"/>
      <c r="N53" s="10"/>
      <c r="O53" s="5" t="str">
        <f t="shared" ca="1" si="2"/>
        <v/>
      </c>
      <c r="P53" s="5" t="str">
        <f t="shared" ca="1" si="3"/>
        <v>Sin fecha</v>
      </c>
      <c r="Q53" s="4"/>
      <c r="R53" s="4"/>
      <c r="S53" s="1"/>
      <c r="T53" s="1"/>
      <c r="U53" s="1"/>
      <c r="V53" s="1"/>
      <c r="W53" s="1"/>
      <c r="X53" s="1"/>
      <c r="Y53" s="1"/>
      <c r="Z53" s="1"/>
    </row>
    <row r="54" spans="1:26">
      <c r="A54" s="4"/>
      <c r="B54" s="8"/>
      <c r="C54" s="8"/>
      <c r="D54" s="8"/>
      <c r="E54" s="8"/>
      <c r="F54" s="8"/>
      <c r="G54" s="8"/>
      <c r="H54" s="8"/>
      <c r="I54" s="8"/>
      <c r="J54" s="9"/>
      <c r="K54" s="9"/>
      <c r="L54" s="9"/>
      <c r="M54" s="8"/>
      <c r="N54" s="10"/>
      <c r="O54" s="5" t="str">
        <f t="shared" ca="1" si="2"/>
        <v/>
      </c>
      <c r="P54" s="5" t="str">
        <f t="shared" ca="1" si="3"/>
        <v>Sin fecha</v>
      </c>
      <c r="Q54" s="4"/>
      <c r="R54" s="4"/>
      <c r="S54" s="1"/>
      <c r="T54" s="1"/>
      <c r="U54" s="1"/>
      <c r="V54" s="1"/>
      <c r="W54" s="1"/>
      <c r="X54" s="1"/>
      <c r="Y54" s="1"/>
      <c r="Z54" s="1"/>
    </row>
    <row r="55" spans="1:26">
      <c r="A55" s="4"/>
      <c r="B55" s="8"/>
      <c r="C55" s="8"/>
      <c r="D55" s="8"/>
      <c r="E55" s="8"/>
      <c r="F55" s="8"/>
      <c r="G55" s="8"/>
      <c r="H55" s="8"/>
      <c r="I55" s="8"/>
      <c r="J55" s="9"/>
      <c r="K55" s="9"/>
      <c r="L55" s="9"/>
      <c r="M55" s="8"/>
      <c r="N55" s="10"/>
      <c r="O55" s="5" t="str">
        <f t="shared" ca="1" si="2"/>
        <v/>
      </c>
      <c r="P55" s="5" t="str">
        <f t="shared" ca="1" si="3"/>
        <v>Sin fecha</v>
      </c>
      <c r="Q55" s="4"/>
      <c r="R55" s="4"/>
      <c r="S55" s="1"/>
      <c r="T55" s="1"/>
      <c r="U55" s="1"/>
      <c r="V55" s="1"/>
      <c r="W55" s="1"/>
      <c r="X55" s="1"/>
      <c r="Y55" s="1"/>
      <c r="Z55" s="1"/>
    </row>
    <row r="56" spans="1:26">
      <c r="A56" s="4"/>
      <c r="B56" s="8"/>
      <c r="C56" s="8"/>
      <c r="D56" s="8"/>
      <c r="E56" s="8"/>
      <c r="F56" s="8"/>
      <c r="G56" s="8"/>
      <c r="H56" s="8"/>
      <c r="I56" s="8"/>
      <c r="J56" s="9"/>
      <c r="K56" s="9"/>
      <c r="L56" s="9"/>
      <c r="M56" s="8"/>
      <c r="N56" s="10"/>
      <c r="O56" s="5" t="str">
        <f t="shared" ca="1" si="2"/>
        <v/>
      </c>
      <c r="P56" s="5" t="str">
        <f t="shared" ca="1" si="3"/>
        <v>Sin fecha</v>
      </c>
      <c r="Q56" s="4"/>
      <c r="R56" s="4"/>
      <c r="S56" s="1"/>
      <c r="T56" s="1"/>
      <c r="U56" s="1"/>
      <c r="V56" s="1"/>
      <c r="W56" s="1"/>
      <c r="X56" s="1"/>
      <c r="Y56" s="1"/>
      <c r="Z56" s="1"/>
    </row>
    <row r="57" spans="1:26">
      <c r="A57" s="4"/>
      <c r="B57" s="8"/>
      <c r="C57" s="8"/>
      <c r="D57" s="8"/>
      <c r="E57" s="8"/>
      <c r="F57" s="8"/>
      <c r="G57" s="8"/>
      <c r="H57" s="8"/>
      <c r="I57" s="8"/>
      <c r="J57" s="9"/>
      <c r="K57" s="9"/>
      <c r="L57" s="9"/>
      <c r="M57" s="8"/>
      <c r="N57" s="10"/>
      <c r="O57" s="5" t="str">
        <f t="shared" ca="1" si="2"/>
        <v/>
      </c>
      <c r="P57" s="5" t="str">
        <f t="shared" ca="1" si="3"/>
        <v>Sin fecha</v>
      </c>
      <c r="Q57" s="4"/>
      <c r="R57" s="4"/>
      <c r="S57" s="1"/>
      <c r="T57" s="1"/>
      <c r="U57" s="1"/>
      <c r="V57" s="1"/>
      <c r="W57" s="1"/>
      <c r="X57" s="1"/>
      <c r="Y57" s="1"/>
      <c r="Z57" s="1"/>
    </row>
    <row r="58" spans="1:26">
      <c r="A58" s="4"/>
      <c r="B58" s="8"/>
      <c r="C58" s="8"/>
      <c r="D58" s="8"/>
      <c r="E58" s="8"/>
      <c r="F58" s="8"/>
      <c r="G58" s="8"/>
      <c r="H58" s="8"/>
      <c r="I58" s="8"/>
      <c r="J58" s="9"/>
      <c r="K58" s="9"/>
      <c r="L58" s="9"/>
      <c r="M58" s="8"/>
      <c r="N58" s="10"/>
      <c r="O58" s="5" t="str">
        <f t="shared" ca="1" si="2"/>
        <v/>
      </c>
      <c r="P58" s="5" t="str">
        <f t="shared" ca="1" si="3"/>
        <v>Sin fecha</v>
      </c>
      <c r="Q58" s="4"/>
      <c r="R58" s="4"/>
      <c r="S58" s="1"/>
      <c r="T58" s="1"/>
      <c r="U58" s="1"/>
      <c r="V58" s="1"/>
      <c r="W58" s="1"/>
      <c r="X58" s="1"/>
      <c r="Y58" s="1"/>
      <c r="Z58" s="1"/>
    </row>
    <row r="59" spans="1:26">
      <c r="A59" s="4"/>
      <c r="B59" s="8"/>
      <c r="C59" s="8"/>
      <c r="D59" s="8"/>
      <c r="E59" s="8"/>
      <c r="F59" s="8"/>
      <c r="G59" s="8"/>
      <c r="H59" s="8"/>
      <c r="I59" s="8"/>
      <c r="J59" s="9"/>
      <c r="K59" s="9"/>
      <c r="L59" s="9"/>
      <c r="M59" s="8"/>
      <c r="N59" s="10"/>
      <c r="O59" s="5" t="str">
        <f t="shared" ca="1" si="2"/>
        <v/>
      </c>
      <c r="P59" s="5" t="str">
        <f t="shared" ca="1" si="3"/>
        <v>Sin fecha</v>
      </c>
      <c r="Q59" s="4"/>
      <c r="R59" s="4"/>
      <c r="S59" s="1"/>
      <c r="T59" s="1"/>
      <c r="U59" s="1"/>
      <c r="V59" s="1"/>
      <c r="W59" s="1"/>
      <c r="X59" s="1"/>
      <c r="Y59" s="1"/>
      <c r="Z59" s="1"/>
    </row>
    <row r="60" spans="1:26">
      <c r="A60" s="4"/>
      <c r="B60" s="8"/>
      <c r="C60" s="8"/>
      <c r="D60" s="8"/>
      <c r="E60" s="8"/>
      <c r="F60" s="8"/>
      <c r="G60" s="8"/>
      <c r="H60" s="8"/>
      <c r="I60" s="8"/>
      <c r="J60" s="9"/>
      <c r="K60" s="9"/>
      <c r="L60" s="9"/>
      <c r="M60" s="8"/>
      <c r="N60" s="10"/>
      <c r="O60" s="5" t="str">
        <f t="shared" ca="1" si="2"/>
        <v/>
      </c>
      <c r="P60" s="5" t="str">
        <f t="shared" ca="1" si="3"/>
        <v>Sin fecha</v>
      </c>
      <c r="Q60" s="4"/>
      <c r="R60" s="4"/>
      <c r="S60" s="1"/>
      <c r="T60" s="1"/>
      <c r="U60" s="1"/>
      <c r="V60" s="1"/>
      <c r="W60" s="1"/>
      <c r="X60" s="1"/>
      <c r="Y60" s="1"/>
      <c r="Z60" s="1"/>
    </row>
    <row r="61" spans="1:26">
      <c r="A61" s="4"/>
      <c r="B61" s="8"/>
      <c r="C61" s="8"/>
      <c r="D61" s="8"/>
      <c r="E61" s="8"/>
      <c r="F61" s="8"/>
      <c r="G61" s="8"/>
      <c r="H61" s="8"/>
      <c r="I61" s="8"/>
      <c r="J61" s="9"/>
      <c r="K61" s="9"/>
      <c r="L61" s="9"/>
      <c r="M61" s="8"/>
      <c r="N61" s="10"/>
      <c r="O61" s="5" t="str">
        <f t="shared" ca="1" si="2"/>
        <v/>
      </c>
      <c r="P61" s="5" t="str">
        <f t="shared" ca="1" si="3"/>
        <v>Sin fecha</v>
      </c>
      <c r="Q61" s="4"/>
      <c r="R61" s="4"/>
      <c r="S61" s="1"/>
      <c r="T61" s="1"/>
      <c r="U61" s="1"/>
      <c r="V61" s="1"/>
      <c r="W61" s="1"/>
      <c r="X61" s="1"/>
      <c r="Y61" s="1"/>
      <c r="Z61" s="1"/>
    </row>
    <row r="62" spans="1:26">
      <c r="A62" s="4"/>
      <c r="B62" s="8"/>
      <c r="C62" s="8"/>
      <c r="D62" s="8"/>
      <c r="E62" s="8"/>
      <c r="F62" s="8"/>
      <c r="G62" s="8"/>
      <c r="H62" s="8"/>
      <c r="I62" s="8"/>
      <c r="J62" s="9"/>
      <c r="K62" s="9"/>
      <c r="L62" s="9"/>
      <c r="M62" s="8"/>
      <c r="N62" s="10"/>
      <c r="O62" s="5" t="str">
        <f t="shared" ca="1" si="2"/>
        <v/>
      </c>
      <c r="P62" s="5" t="str">
        <f t="shared" ca="1" si="3"/>
        <v>Sin fecha</v>
      </c>
      <c r="Q62" s="4"/>
      <c r="R62" s="4"/>
      <c r="S62" s="1"/>
      <c r="T62" s="1"/>
      <c r="U62" s="1"/>
      <c r="V62" s="1"/>
      <c r="W62" s="1"/>
      <c r="X62" s="1"/>
      <c r="Y62" s="1"/>
      <c r="Z62" s="1"/>
    </row>
    <row r="63" spans="1:26">
      <c r="A63" s="4"/>
      <c r="B63" s="8"/>
      <c r="C63" s="8"/>
      <c r="D63" s="8"/>
      <c r="E63" s="8"/>
      <c r="F63" s="8"/>
      <c r="G63" s="8"/>
      <c r="H63" s="8"/>
      <c r="I63" s="8"/>
      <c r="J63" s="9"/>
      <c r="K63" s="9"/>
      <c r="L63" s="9"/>
      <c r="M63" s="8"/>
      <c r="N63" s="10"/>
      <c r="O63" s="5" t="str">
        <f t="shared" ca="1" si="2"/>
        <v/>
      </c>
      <c r="P63" s="5" t="str">
        <f t="shared" ca="1" si="3"/>
        <v>Sin fecha</v>
      </c>
      <c r="Q63" s="4"/>
      <c r="R63" s="4"/>
      <c r="S63" s="1"/>
      <c r="T63" s="1"/>
      <c r="U63" s="1"/>
      <c r="V63" s="1"/>
      <c r="W63" s="1"/>
      <c r="X63" s="1"/>
      <c r="Y63" s="1"/>
      <c r="Z63" s="1"/>
    </row>
    <row r="64" spans="1:26">
      <c r="A64" s="4"/>
      <c r="B64" s="8"/>
      <c r="C64" s="8"/>
      <c r="D64" s="8"/>
      <c r="E64" s="8"/>
      <c r="F64" s="8"/>
      <c r="G64" s="8"/>
      <c r="H64" s="8"/>
      <c r="I64" s="8"/>
      <c r="J64" s="9"/>
      <c r="K64" s="9"/>
      <c r="L64" s="9"/>
      <c r="M64" s="8"/>
      <c r="N64" s="10"/>
      <c r="O64" s="5" t="str">
        <f t="shared" ca="1" si="2"/>
        <v/>
      </c>
      <c r="P64" s="5" t="str">
        <f t="shared" ca="1" si="3"/>
        <v>Sin fecha</v>
      </c>
      <c r="Q64" s="4"/>
      <c r="R64" s="4"/>
      <c r="S64" s="1"/>
      <c r="T64" s="1"/>
      <c r="U64" s="1"/>
      <c r="V64" s="1"/>
      <c r="W64" s="1"/>
      <c r="X64" s="1"/>
      <c r="Y64" s="1"/>
      <c r="Z64" s="1"/>
    </row>
    <row r="65" spans="1:26">
      <c r="A65" s="4"/>
      <c r="B65" s="8"/>
      <c r="C65" s="8"/>
      <c r="D65" s="8"/>
      <c r="E65" s="8"/>
      <c r="F65" s="8"/>
      <c r="G65" s="8"/>
      <c r="H65" s="8"/>
      <c r="I65" s="8"/>
      <c r="J65" s="9"/>
      <c r="K65" s="9"/>
      <c r="L65" s="9"/>
      <c r="M65" s="8"/>
      <c r="N65" s="10"/>
      <c r="O65" s="5" t="str">
        <f t="shared" ca="1" si="2"/>
        <v/>
      </c>
      <c r="P65" s="5" t="str">
        <f t="shared" ca="1" si="3"/>
        <v>Sin fecha</v>
      </c>
      <c r="Q65" s="4"/>
      <c r="R65" s="4"/>
      <c r="S65" s="1"/>
      <c r="T65" s="1"/>
      <c r="U65" s="1"/>
      <c r="V65" s="1"/>
      <c r="W65" s="1"/>
      <c r="X65" s="1"/>
      <c r="Y65" s="1"/>
      <c r="Z65" s="1"/>
    </row>
    <row r="66" spans="1:26">
      <c r="A66" s="4"/>
      <c r="B66" s="8"/>
      <c r="C66" s="8"/>
      <c r="D66" s="8"/>
      <c r="E66" s="8"/>
      <c r="F66" s="8"/>
      <c r="G66" s="8"/>
      <c r="H66" s="8"/>
      <c r="I66" s="8"/>
      <c r="J66" s="9"/>
      <c r="K66" s="9"/>
      <c r="L66" s="9"/>
      <c r="M66" s="8"/>
      <c r="N66" s="10"/>
      <c r="O66" s="5" t="str">
        <f t="shared" ca="1" si="2"/>
        <v/>
      </c>
      <c r="P66" s="5" t="str">
        <f t="shared" ca="1" si="3"/>
        <v>Sin fecha</v>
      </c>
      <c r="Q66" s="4"/>
      <c r="R66" s="4"/>
      <c r="S66" s="1"/>
      <c r="T66" s="1"/>
      <c r="U66" s="1"/>
      <c r="V66" s="1"/>
      <c r="W66" s="1"/>
      <c r="X66" s="1"/>
      <c r="Y66" s="1"/>
      <c r="Z66" s="1"/>
    </row>
    <row r="67" spans="1:26">
      <c r="A67" s="4"/>
      <c r="B67" s="8"/>
      <c r="C67" s="8"/>
      <c r="D67" s="8"/>
      <c r="E67" s="8"/>
      <c r="F67" s="8"/>
      <c r="G67" s="8"/>
      <c r="H67" s="8"/>
      <c r="I67" s="8"/>
      <c r="J67" s="9"/>
      <c r="K67" s="9"/>
      <c r="L67" s="9"/>
      <c r="M67" s="8"/>
      <c r="N67" s="10"/>
      <c r="O67" s="5" t="str">
        <f t="shared" ca="1" si="2"/>
        <v/>
      </c>
      <c r="P67" s="5" t="str">
        <f t="shared" ca="1" si="3"/>
        <v>Sin fecha</v>
      </c>
      <c r="Q67" s="4"/>
      <c r="R67" s="4"/>
      <c r="S67" s="1"/>
      <c r="T67" s="1"/>
      <c r="U67" s="1"/>
      <c r="V67" s="1"/>
      <c r="W67" s="1"/>
      <c r="X67" s="1"/>
      <c r="Y67" s="1"/>
      <c r="Z67" s="1"/>
    </row>
    <row r="68" spans="1:26">
      <c r="A68" s="4"/>
      <c r="B68" s="8"/>
      <c r="C68" s="8"/>
      <c r="D68" s="8"/>
      <c r="E68" s="8"/>
      <c r="F68" s="8"/>
      <c r="G68" s="8"/>
      <c r="H68" s="8"/>
      <c r="I68" s="8"/>
      <c r="J68" s="9"/>
      <c r="K68" s="9"/>
      <c r="L68" s="9"/>
      <c r="M68" s="8"/>
      <c r="N68" s="10"/>
      <c r="O68" s="5" t="str">
        <f t="shared" ca="1" si="2"/>
        <v/>
      </c>
      <c r="P68" s="5" t="str">
        <f t="shared" ca="1" si="3"/>
        <v>Sin fecha</v>
      </c>
      <c r="Q68" s="4"/>
      <c r="R68" s="4"/>
      <c r="S68" s="1"/>
      <c r="T68" s="1"/>
      <c r="U68" s="1"/>
      <c r="V68" s="1"/>
      <c r="W68" s="1"/>
      <c r="X68" s="1"/>
      <c r="Y68" s="1"/>
      <c r="Z68" s="1"/>
    </row>
    <row r="69" spans="1:26">
      <c r="A69" s="4"/>
      <c r="B69" s="8"/>
      <c r="C69" s="8"/>
      <c r="D69" s="8"/>
      <c r="E69" s="8"/>
      <c r="F69" s="8"/>
      <c r="G69" s="8"/>
      <c r="H69" s="8"/>
      <c r="I69" s="8"/>
      <c r="J69" s="9"/>
      <c r="K69" s="9"/>
      <c r="L69" s="9"/>
      <c r="M69" s="8"/>
      <c r="N69" s="10"/>
      <c r="O69" s="5" t="str">
        <f t="shared" ca="1" si="2"/>
        <v/>
      </c>
      <c r="P69" s="5" t="str">
        <f t="shared" ca="1" si="3"/>
        <v>Sin fecha</v>
      </c>
      <c r="Q69" s="4"/>
      <c r="R69" s="4"/>
      <c r="S69" s="1"/>
      <c r="T69" s="1"/>
      <c r="U69" s="1"/>
      <c r="V69" s="1"/>
      <c r="W69" s="1"/>
      <c r="X69" s="1"/>
      <c r="Y69" s="1"/>
      <c r="Z69" s="1"/>
    </row>
    <row r="70" spans="1:26">
      <c r="A70" s="4"/>
      <c r="B70" s="8"/>
      <c r="C70" s="8"/>
      <c r="D70" s="8"/>
      <c r="E70" s="8"/>
      <c r="F70" s="8"/>
      <c r="G70" s="8"/>
      <c r="H70" s="8"/>
      <c r="I70" s="8"/>
      <c r="J70" s="9"/>
      <c r="K70" s="9"/>
      <c r="L70" s="9"/>
      <c r="M70" s="8"/>
      <c r="N70" s="10"/>
      <c r="O70" s="5" t="str">
        <f t="shared" ca="1" si="2"/>
        <v/>
      </c>
      <c r="P70" s="5" t="str">
        <f t="shared" ca="1" si="3"/>
        <v>Sin fecha</v>
      </c>
      <c r="Q70" s="4"/>
      <c r="R70" s="4"/>
      <c r="S70" s="1"/>
      <c r="T70" s="1"/>
      <c r="U70" s="1"/>
      <c r="V70" s="1"/>
      <c r="W70" s="1"/>
      <c r="X70" s="1"/>
      <c r="Y70" s="1"/>
      <c r="Z70" s="1"/>
    </row>
    <row r="71" spans="1:26">
      <c r="A71" s="4"/>
      <c r="B71" s="8"/>
      <c r="C71" s="8"/>
      <c r="D71" s="8"/>
      <c r="E71" s="8"/>
      <c r="F71" s="8"/>
      <c r="G71" s="8"/>
      <c r="H71" s="8"/>
      <c r="I71" s="8"/>
      <c r="J71" s="9"/>
      <c r="K71" s="9"/>
      <c r="L71" s="9"/>
      <c r="M71" s="8"/>
      <c r="N71" s="10"/>
      <c r="O71" s="5" t="str">
        <f t="shared" ref="O71:O106" ca="1" si="4">IF(K71="","",K71-TODAY())</f>
        <v/>
      </c>
      <c r="P71" s="5" t="str">
        <f t="shared" ref="P71:P106" ca="1" si="5">IF(M71="Cerrado","Verde",IF(K71="","Sin fecha",IF(K71&lt;TODAY(),"Rojo",IF(K71-TODAY()&lt;=3,"Amarillo","Verde"))))</f>
        <v>Sin fecha</v>
      </c>
      <c r="Q71" s="4"/>
      <c r="R71" s="4"/>
      <c r="S71" s="1"/>
      <c r="T71" s="1"/>
      <c r="U71" s="1"/>
      <c r="V71" s="1"/>
      <c r="W71" s="1"/>
      <c r="X71" s="1"/>
      <c r="Y71" s="1"/>
      <c r="Z71" s="1"/>
    </row>
    <row r="72" spans="1:26">
      <c r="A72" s="4"/>
      <c r="B72" s="8"/>
      <c r="C72" s="8"/>
      <c r="D72" s="8"/>
      <c r="E72" s="8"/>
      <c r="F72" s="8"/>
      <c r="G72" s="8"/>
      <c r="H72" s="8"/>
      <c r="I72" s="8"/>
      <c r="J72" s="9"/>
      <c r="K72" s="9"/>
      <c r="L72" s="9"/>
      <c r="M72" s="8"/>
      <c r="N72" s="10"/>
      <c r="O72" s="5" t="str">
        <f t="shared" ca="1" si="4"/>
        <v/>
      </c>
      <c r="P72" s="5" t="str">
        <f t="shared" ca="1" si="5"/>
        <v>Sin fecha</v>
      </c>
      <c r="Q72" s="4"/>
      <c r="R72" s="4"/>
      <c r="S72" s="1"/>
      <c r="T72" s="1"/>
      <c r="U72" s="1"/>
      <c r="V72" s="1"/>
      <c r="W72" s="1"/>
      <c r="X72" s="1"/>
      <c r="Y72" s="1"/>
      <c r="Z72" s="1"/>
    </row>
    <row r="73" spans="1:26">
      <c r="A73" s="4"/>
      <c r="B73" s="8"/>
      <c r="C73" s="8"/>
      <c r="D73" s="8"/>
      <c r="E73" s="8"/>
      <c r="F73" s="8"/>
      <c r="G73" s="8"/>
      <c r="H73" s="8"/>
      <c r="I73" s="8"/>
      <c r="J73" s="9"/>
      <c r="K73" s="9"/>
      <c r="L73" s="9"/>
      <c r="M73" s="8"/>
      <c r="N73" s="10"/>
      <c r="O73" s="5" t="str">
        <f t="shared" ca="1" si="4"/>
        <v/>
      </c>
      <c r="P73" s="5" t="str">
        <f t="shared" ca="1" si="5"/>
        <v>Sin fecha</v>
      </c>
      <c r="Q73" s="4"/>
      <c r="R73" s="4"/>
      <c r="S73" s="1"/>
      <c r="T73" s="1"/>
      <c r="U73" s="1"/>
      <c r="V73" s="1"/>
      <c r="W73" s="1"/>
      <c r="X73" s="1"/>
      <c r="Y73" s="1"/>
      <c r="Z73" s="1"/>
    </row>
    <row r="74" spans="1:26">
      <c r="A74" s="4"/>
      <c r="B74" s="8"/>
      <c r="C74" s="8"/>
      <c r="D74" s="8"/>
      <c r="E74" s="8"/>
      <c r="F74" s="8"/>
      <c r="G74" s="8"/>
      <c r="H74" s="8"/>
      <c r="I74" s="8"/>
      <c r="J74" s="9"/>
      <c r="K74" s="9"/>
      <c r="L74" s="9"/>
      <c r="M74" s="8"/>
      <c r="N74" s="10"/>
      <c r="O74" s="5" t="str">
        <f t="shared" ca="1" si="4"/>
        <v/>
      </c>
      <c r="P74" s="5" t="str">
        <f t="shared" ca="1" si="5"/>
        <v>Sin fecha</v>
      </c>
      <c r="Q74" s="4"/>
      <c r="R74" s="4"/>
      <c r="S74" s="1"/>
      <c r="T74" s="1"/>
      <c r="U74" s="1"/>
      <c r="V74" s="1"/>
      <c r="W74" s="1"/>
      <c r="X74" s="1"/>
      <c r="Y74" s="1"/>
      <c r="Z74" s="1"/>
    </row>
    <row r="75" spans="1:26">
      <c r="A75" s="4"/>
      <c r="B75" s="8"/>
      <c r="C75" s="8"/>
      <c r="D75" s="8"/>
      <c r="E75" s="8"/>
      <c r="F75" s="8"/>
      <c r="G75" s="8"/>
      <c r="H75" s="8"/>
      <c r="I75" s="8"/>
      <c r="J75" s="9"/>
      <c r="K75" s="9"/>
      <c r="L75" s="9"/>
      <c r="M75" s="8"/>
      <c r="N75" s="10"/>
      <c r="O75" s="5" t="str">
        <f t="shared" ca="1" si="4"/>
        <v/>
      </c>
      <c r="P75" s="5" t="str">
        <f t="shared" ca="1" si="5"/>
        <v>Sin fecha</v>
      </c>
      <c r="Q75" s="4"/>
      <c r="R75" s="4"/>
      <c r="S75" s="1"/>
      <c r="T75" s="1"/>
      <c r="U75" s="1"/>
      <c r="V75" s="1"/>
      <c r="W75" s="1"/>
      <c r="X75" s="1"/>
      <c r="Y75" s="1"/>
      <c r="Z75" s="1"/>
    </row>
    <row r="76" spans="1:26">
      <c r="A76" s="4"/>
      <c r="B76" s="8"/>
      <c r="C76" s="8"/>
      <c r="D76" s="8"/>
      <c r="E76" s="8"/>
      <c r="F76" s="8"/>
      <c r="G76" s="8"/>
      <c r="H76" s="8"/>
      <c r="I76" s="8"/>
      <c r="J76" s="9"/>
      <c r="K76" s="9"/>
      <c r="L76" s="9"/>
      <c r="M76" s="8"/>
      <c r="N76" s="10"/>
      <c r="O76" s="5" t="str">
        <f t="shared" ca="1" si="4"/>
        <v/>
      </c>
      <c r="P76" s="5" t="str">
        <f t="shared" ca="1" si="5"/>
        <v>Sin fecha</v>
      </c>
      <c r="Q76" s="4"/>
      <c r="R76" s="4"/>
      <c r="S76" s="1"/>
      <c r="T76" s="1"/>
      <c r="U76" s="1"/>
      <c r="V76" s="1"/>
      <c r="W76" s="1"/>
      <c r="X76" s="1"/>
      <c r="Y76" s="1"/>
      <c r="Z76" s="1"/>
    </row>
    <row r="77" spans="1:26">
      <c r="A77" s="4"/>
      <c r="B77" s="8"/>
      <c r="C77" s="8"/>
      <c r="D77" s="8"/>
      <c r="E77" s="8"/>
      <c r="F77" s="8"/>
      <c r="G77" s="8"/>
      <c r="H77" s="8"/>
      <c r="I77" s="8"/>
      <c r="J77" s="9"/>
      <c r="K77" s="9"/>
      <c r="L77" s="9"/>
      <c r="M77" s="8"/>
      <c r="N77" s="10"/>
      <c r="O77" s="5" t="str">
        <f t="shared" ca="1" si="4"/>
        <v/>
      </c>
      <c r="P77" s="5" t="str">
        <f t="shared" ca="1" si="5"/>
        <v>Sin fecha</v>
      </c>
      <c r="Q77" s="4"/>
      <c r="R77" s="4"/>
      <c r="S77" s="1"/>
      <c r="T77" s="1"/>
      <c r="U77" s="1"/>
      <c r="V77" s="1"/>
      <c r="W77" s="1"/>
      <c r="X77" s="1"/>
      <c r="Y77" s="1"/>
      <c r="Z77" s="1"/>
    </row>
    <row r="78" spans="1:26">
      <c r="A78" s="4"/>
      <c r="B78" s="8"/>
      <c r="C78" s="8"/>
      <c r="D78" s="8"/>
      <c r="E78" s="8"/>
      <c r="F78" s="8"/>
      <c r="G78" s="8"/>
      <c r="H78" s="8"/>
      <c r="I78" s="8"/>
      <c r="J78" s="9"/>
      <c r="K78" s="9"/>
      <c r="L78" s="9"/>
      <c r="M78" s="8"/>
      <c r="N78" s="10"/>
      <c r="O78" s="5" t="str">
        <f t="shared" ca="1" si="4"/>
        <v/>
      </c>
      <c r="P78" s="5" t="str">
        <f t="shared" ca="1" si="5"/>
        <v>Sin fecha</v>
      </c>
      <c r="Q78" s="4"/>
      <c r="R78" s="4"/>
      <c r="S78" s="1"/>
      <c r="T78" s="1"/>
      <c r="U78" s="1"/>
      <c r="V78" s="1"/>
      <c r="W78" s="1"/>
      <c r="X78" s="1"/>
      <c r="Y78" s="1"/>
      <c r="Z78" s="1"/>
    </row>
    <row r="79" spans="1:26">
      <c r="A79" s="4"/>
      <c r="B79" s="8"/>
      <c r="C79" s="8"/>
      <c r="D79" s="8"/>
      <c r="E79" s="8"/>
      <c r="F79" s="8"/>
      <c r="G79" s="8"/>
      <c r="H79" s="8"/>
      <c r="I79" s="8"/>
      <c r="J79" s="9"/>
      <c r="K79" s="9"/>
      <c r="L79" s="9"/>
      <c r="M79" s="8"/>
      <c r="N79" s="10"/>
      <c r="O79" s="5" t="str">
        <f t="shared" ca="1" si="4"/>
        <v/>
      </c>
      <c r="P79" s="5" t="str">
        <f t="shared" ca="1" si="5"/>
        <v>Sin fecha</v>
      </c>
      <c r="Q79" s="4"/>
      <c r="R79" s="4"/>
      <c r="S79" s="1"/>
      <c r="T79" s="1"/>
      <c r="U79" s="1"/>
      <c r="V79" s="1"/>
      <c r="W79" s="1"/>
      <c r="X79" s="1"/>
      <c r="Y79" s="1"/>
      <c r="Z79" s="1"/>
    </row>
    <row r="80" spans="1:26">
      <c r="A80" s="4"/>
      <c r="B80" s="8"/>
      <c r="C80" s="8"/>
      <c r="D80" s="8"/>
      <c r="E80" s="8"/>
      <c r="F80" s="8"/>
      <c r="G80" s="8"/>
      <c r="H80" s="8"/>
      <c r="I80" s="8"/>
      <c r="J80" s="9"/>
      <c r="K80" s="9"/>
      <c r="L80" s="9"/>
      <c r="M80" s="8"/>
      <c r="N80" s="10"/>
      <c r="O80" s="5" t="str">
        <f t="shared" ca="1" si="4"/>
        <v/>
      </c>
      <c r="P80" s="5" t="str">
        <f t="shared" ca="1" si="5"/>
        <v>Sin fecha</v>
      </c>
      <c r="Q80" s="4"/>
      <c r="R80" s="4"/>
      <c r="S80" s="1"/>
      <c r="T80" s="1"/>
      <c r="U80" s="1"/>
      <c r="V80" s="1"/>
      <c r="W80" s="1"/>
      <c r="X80" s="1"/>
      <c r="Y80" s="1"/>
      <c r="Z80" s="1"/>
    </row>
    <row r="81" spans="1:26">
      <c r="A81" s="4"/>
      <c r="B81" s="8"/>
      <c r="C81" s="8"/>
      <c r="D81" s="8"/>
      <c r="E81" s="8"/>
      <c r="F81" s="8"/>
      <c r="G81" s="8"/>
      <c r="H81" s="8"/>
      <c r="I81" s="8"/>
      <c r="J81" s="9"/>
      <c r="K81" s="9"/>
      <c r="L81" s="9"/>
      <c r="M81" s="8"/>
      <c r="N81" s="10"/>
      <c r="O81" s="5" t="str">
        <f t="shared" ca="1" si="4"/>
        <v/>
      </c>
      <c r="P81" s="5" t="str">
        <f t="shared" ca="1" si="5"/>
        <v>Sin fecha</v>
      </c>
      <c r="Q81" s="4"/>
      <c r="R81" s="4"/>
      <c r="S81" s="1"/>
      <c r="T81" s="1"/>
      <c r="U81" s="1"/>
      <c r="V81" s="1"/>
      <c r="W81" s="1"/>
      <c r="X81" s="1"/>
      <c r="Y81" s="1"/>
      <c r="Z81" s="1"/>
    </row>
    <row r="82" spans="1:26">
      <c r="A82" s="4"/>
      <c r="B82" s="8"/>
      <c r="C82" s="8"/>
      <c r="D82" s="8"/>
      <c r="E82" s="8"/>
      <c r="F82" s="8"/>
      <c r="G82" s="8"/>
      <c r="H82" s="8"/>
      <c r="I82" s="8"/>
      <c r="J82" s="9"/>
      <c r="K82" s="9"/>
      <c r="L82" s="9"/>
      <c r="M82" s="8"/>
      <c r="N82" s="10"/>
      <c r="O82" s="5" t="str">
        <f t="shared" ca="1" si="4"/>
        <v/>
      </c>
      <c r="P82" s="5" t="str">
        <f t="shared" ca="1" si="5"/>
        <v>Sin fecha</v>
      </c>
      <c r="Q82" s="4"/>
      <c r="R82" s="4"/>
      <c r="S82" s="1"/>
      <c r="T82" s="1"/>
      <c r="U82" s="1"/>
      <c r="V82" s="1"/>
      <c r="W82" s="1"/>
      <c r="X82" s="1"/>
      <c r="Y82" s="1"/>
      <c r="Z82" s="1"/>
    </row>
    <row r="83" spans="1:26">
      <c r="A83" s="4"/>
      <c r="B83" s="8"/>
      <c r="C83" s="8"/>
      <c r="D83" s="8"/>
      <c r="E83" s="8"/>
      <c r="F83" s="8"/>
      <c r="G83" s="8"/>
      <c r="H83" s="8"/>
      <c r="I83" s="8"/>
      <c r="J83" s="9"/>
      <c r="K83" s="9"/>
      <c r="L83" s="9"/>
      <c r="M83" s="8"/>
      <c r="N83" s="10"/>
      <c r="O83" s="5" t="str">
        <f t="shared" ca="1" si="4"/>
        <v/>
      </c>
      <c r="P83" s="5" t="str">
        <f t="shared" ca="1" si="5"/>
        <v>Sin fecha</v>
      </c>
      <c r="Q83" s="4"/>
      <c r="R83" s="4"/>
      <c r="S83" s="1"/>
      <c r="T83" s="1"/>
      <c r="U83" s="1"/>
      <c r="V83" s="1"/>
      <c r="W83" s="1"/>
      <c r="X83" s="1"/>
      <c r="Y83" s="1"/>
      <c r="Z83" s="1"/>
    </row>
    <row r="84" spans="1:26">
      <c r="A84" s="4"/>
      <c r="B84" s="8"/>
      <c r="C84" s="8"/>
      <c r="D84" s="8"/>
      <c r="E84" s="8"/>
      <c r="F84" s="8"/>
      <c r="G84" s="8"/>
      <c r="H84" s="8"/>
      <c r="I84" s="8"/>
      <c r="J84" s="9"/>
      <c r="K84" s="9"/>
      <c r="L84" s="9"/>
      <c r="M84" s="8"/>
      <c r="N84" s="10"/>
      <c r="O84" s="5" t="str">
        <f t="shared" ca="1" si="4"/>
        <v/>
      </c>
      <c r="P84" s="5" t="str">
        <f t="shared" ca="1" si="5"/>
        <v>Sin fecha</v>
      </c>
      <c r="Q84" s="4"/>
      <c r="R84" s="4"/>
      <c r="S84" s="1"/>
      <c r="T84" s="1"/>
      <c r="U84" s="1"/>
      <c r="V84" s="1"/>
      <c r="W84" s="1"/>
      <c r="X84" s="1"/>
      <c r="Y84" s="1"/>
      <c r="Z84" s="1"/>
    </row>
    <row r="85" spans="1:26">
      <c r="A85" s="4"/>
      <c r="B85" s="8"/>
      <c r="C85" s="8"/>
      <c r="D85" s="8"/>
      <c r="E85" s="8"/>
      <c r="F85" s="8"/>
      <c r="G85" s="8"/>
      <c r="H85" s="8"/>
      <c r="I85" s="8"/>
      <c r="J85" s="9"/>
      <c r="K85" s="9"/>
      <c r="L85" s="9"/>
      <c r="M85" s="8"/>
      <c r="N85" s="10"/>
      <c r="O85" s="5" t="str">
        <f t="shared" ca="1" si="4"/>
        <v/>
      </c>
      <c r="P85" s="5" t="str">
        <f t="shared" ca="1" si="5"/>
        <v>Sin fecha</v>
      </c>
      <c r="Q85" s="4"/>
      <c r="R85" s="4"/>
      <c r="S85" s="1"/>
      <c r="T85" s="1"/>
      <c r="U85" s="1"/>
      <c r="V85" s="1"/>
      <c r="W85" s="1"/>
      <c r="X85" s="1"/>
      <c r="Y85" s="1"/>
      <c r="Z85" s="1"/>
    </row>
    <row r="86" spans="1:26">
      <c r="A86" s="4"/>
      <c r="B86" s="8"/>
      <c r="C86" s="8"/>
      <c r="D86" s="8"/>
      <c r="E86" s="8"/>
      <c r="F86" s="8"/>
      <c r="G86" s="8"/>
      <c r="H86" s="8"/>
      <c r="I86" s="8"/>
      <c r="J86" s="9"/>
      <c r="K86" s="9"/>
      <c r="L86" s="9"/>
      <c r="M86" s="8"/>
      <c r="N86" s="10"/>
      <c r="O86" s="5" t="str">
        <f t="shared" ca="1" si="4"/>
        <v/>
      </c>
      <c r="P86" s="5" t="str">
        <f t="shared" ca="1" si="5"/>
        <v>Sin fecha</v>
      </c>
      <c r="Q86" s="4"/>
      <c r="R86" s="4"/>
      <c r="S86" s="1"/>
      <c r="T86" s="1"/>
      <c r="U86" s="1"/>
      <c r="V86" s="1"/>
      <c r="W86" s="1"/>
      <c r="X86" s="1"/>
      <c r="Y86" s="1"/>
      <c r="Z86" s="1"/>
    </row>
    <row r="87" spans="1:26">
      <c r="A87" s="4"/>
      <c r="B87" s="8"/>
      <c r="C87" s="8"/>
      <c r="D87" s="8"/>
      <c r="E87" s="8"/>
      <c r="F87" s="8"/>
      <c r="G87" s="8"/>
      <c r="H87" s="8"/>
      <c r="I87" s="8"/>
      <c r="J87" s="9"/>
      <c r="K87" s="9"/>
      <c r="L87" s="9"/>
      <c r="M87" s="8"/>
      <c r="N87" s="10"/>
      <c r="O87" s="5" t="str">
        <f t="shared" ca="1" si="4"/>
        <v/>
      </c>
      <c r="P87" s="5" t="str">
        <f t="shared" ca="1" si="5"/>
        <v>Sin fecha</v>
      </c>
      <c r="Q87" s="4"/>
      <c r="R87" s="4"/>
      <c r="S87" s="1"/>
      <c r="T87" s="1"/>
      <c r="U87" s="1"/>
      <c r="V87" s="1"/>
      <c r="W87" s="1"/>
      <c r="X87" s="1"/>
      <c r="Y87" s="1"/>
      <c r="Z87" s="1"/>
    </row>
    <row r="88" spans="1:26">
      <c r="A88" s="4"/>
      <c r="B88" s="8"/>
      <c r="C88" s="8"/>
      <c r="D88" s="8"/>
      <c r="E88" s="8"/>
      <c r="F88" s="8"/>
      <c r="G88" s="8"/>
      <c r="H88" s="8"/>
      <c r="I88" s="8"/>
      <c r="J88" s="9"/>
      <c r="K88" s="9"/>
      <c r="L88" s="9"/>
      <c r="M88" s="8"/>
      <c r="N88" s="10"/>
      <c r="O88" s="5" t="str">
        <f t="shared" ca="1" si="4"/>
        <v/>
      </c>
      <c r="P88" s="5" t="str">
        <f t="shared" ca="1" si="5"/>
        <v>Sin fecha</v>
      </c>
      <c r="Q88" s="4"/>
      <c r="R88" s="4"/>
      <c r="S88" s="1"/>
      <c r="T88" s="1"/>
      <c r="U88" s="1"/>
      <c r="V88" s="1"/>
      <c r="W88" s="1"/>
      <c r="X88" s="1"/>
      <c r="Y88" s="1"/>
      <c r="Z88" s="1"/>
    </row>
    <row r="89" spans="1:26">
      <c r="A89" s="4"/>
      <c r="B89" s="8"/>
      <c r="C89" s="8"/>
      <c r="D89" s="8"/>
      <c r="E89" s="8"/>
      <c r="F89" s="8"/>
      <c r="G89" s="8"/>
      <c r="H89" s="8"/>
      <c r="I89" s="8"/>
      <c r="J89" s="9"/>
      <c r="K89" s="9"/>
      <c r="L89" s="9"/>
      <c r="M89" s="8"/>
      <c r="N89" s="10"/>
      <c r="O89" s="5" t="str">
        <f t="shared" ca="1" si="4"/>
        <v/>
      </c>
      <c r="P89" s="5" t="str">
        <f t="shared" ca="1" si="5"/>
        <v>Sin fecha</v>
      </c>
      <c r="Q89" s="4"/>
      <c r="R89" s="4"/>
      <c r="S89" s="1"/>
      <c r="T89" s="1"/>
      <c r="U89" s="1"/>
      <c r="V89" s="1"/>
      <c r="W89" s="1"/>
      <c r="X89" s="1"/>
      <c r="Y89" s="1"/>
      <c r="Z89" s="1"/>
    </row>
    <row r="90" spans="1:26">
      <c r="A90" s="4"/>
      <c r="B90" s="8"/>
      <c r="C90" s="8"/>
      <c r="D90" s="8"/>
      <c r="E90" s="8"/>
      <c r="F90" s="8"/>
      <c r="G90" s="8"/>
      <c r="H90" s="8"/>
      <c r="I90" s="8"/>
      <c r="J90" s="9"/>
      <c r="K90" s="9"/>
      <c r="L90" s="9"/>
      <c r="M90" s="8"/>
      <c r="N90" s="10"/>
      <c r="O90" s="5" t="str">
        <f t="shared" ca="1" si="4"/>
        <v/>
      </c>
      <c r="P90" s="5" t="str">
        <f t="shared" ca="1" si="5"/>
        <v>Sin fecha</v>
      </c>
      <c r="Q90" s="4"/>
      <c r="R90" s="4"/>
      <c r="S90" s="1"/>
      <c r="T90" s="1"/>
      <c r="U90" s="1"/>
      <c r="V90" s="1"/>
      <c r="W90" s="1"/>
      <c r="X90" s="1"/>
      <c r="Y90" s="1"/>
      <c r="Z90" s="1"/>
    </row>
    <row r="91" spans="1:26">
      <c r="A91" s="4"/>
      <c r="B91" s="8"/>
      <c r="C91" s="8"/>
      <c r="D91" s="8"/>
      <c r="E91" s="8"/>
      <c r="F91" s="8"/>
      <c r="G91" s="8"/>
      <c r="H91" s="8"/>
      <c r="I91" s="8"/>
      <c r="J91" s="9"/>
      <c r="K91" s="9"/>
      <c r="L91" s="9"/>
      <c r="M91" s="8"/>
      <c r="N91" s="10"/>
      <c r="O91" s="5" t="str">
        <f t="shared" ca="1" si="4"/>
        <v/>
      </c>
      <c r="P91" s="5" t="str">
        <f t="shared" ca="1" si="5"/>
        <v>Sin fecha</v>
      </c>
      <c r="Q91" s="4"/>
      <c r="R91" s="4"/>
      <c r="S91" s="1"/>
      <c r="T91" s="1"/>
      <c r="U91" s="1"/>
      <c r="V91" s="1"/>
      <c r="W91" s="1"/>
      <c r="X91" s="1"/>
      <c r="Y91" s="1"/>
      <c r="Z91" s="1"/>
    </row>
    <row r="92" spans="1:26">
      <c r="A92" s="4"/>
      <c r="B92" s="8"/>
      <c r="C92" s="8"/>
      <c r="D92" s="8"/>
      <c r="E92" s="8"/>
      <c r="F92" s="8"/>
      <c r="G92" s="8"/>
      <c r="H92" s="8"/>
      <c r="I92" s="8"/>
      <c r="J92" s="9"/>
      <c r="K92" s="9"/>
      <c r="L92" s="9"/>
      <c r="M92" s="8"/>
      <c r="N92" s="10"/>
      <c r="O92" s="5" t="str">
        <f t="shared" ca="1" si="4"/>
        <v/>
      </c>
      <c r="P92" s="5" t="str">
        <f t="shared" ca="1" si="5"/>
        <v>Sin fecha</v>
      </c>
      <c r="Q92" s="4"/>
      <c r="R92" s="4"/>
      <c r="S92" s="1"/>
      <c r="T92" s="1"/>
      <c r="U92" s="1"/>
      <c r="V92" s="1"/>
      <c r="W92" s="1"/>
      <c r="X92" s="1"/>
      <c r="Y92" s="1"/>
      <c r="Z92" s="1"/>
    </row>
    <row r="93" spans="1:26">
      <c r="A93" s="4"/>
      <c r="B93" s="8"/>
      <c r="C93" s="8"/>
      <c r="D93" s="8"/>
      <c r="E93" s="8"/>
      <c r="F93" s="8"/>
      <c r="G93" s="8"/>
      <c r="H93" s="8"/>
      <c r="I93" s="8"/>
      <c r="J93" s="9"/>
      <c r="K93" s="9"/>
      <c r="L93" s="9"/>
      <c r="M93" s="8"/>
      <c r="N93" s="10"/>
      <c r="O93" s="5" t="str">
        <f t="shared" ca="1" si="4"/>
        <v/>
      </c>
      <c r="P93" s="5" t="str">
        <f t="shared" ca="1" si="5"/>
        <v>Sin fecha</v>
      </c>
      <c r="Q93" s="4"/>
      <c r="R93" s="4"/>
      <c r="S93" s="1"/>
      <c r="T93" s="1"/>
      <c r="U93" s="1"/>
      <c r="V93" s="1"/>
      <c r="W93" s="1"/>
      <c r="X93" s="1"/>
      <c r="Y93" s="1"/>
      <c r="Z93" s="1"/>
    </row>
    <row r="94" spans="1:26">
      <c r="A94" s="4"/>
      <c r="B94" s="8"/>
      <c r="C94" s="8"/>
      <c r="D94" s="8"/>
      <c r="E94" s="8"/>
      <c r="F94" s="8"/>
      <c r="G94" s="8"/>
      <c r="H94" s="8"/>
      <c r="I94" s="8"/>
      <c r="J94" s="9"/>
      <c r="K94" s="9"/>
      <c r="L94" s="9"/>
      <c r="M94" s="8"/>
      <c r="N94" s="10"/>
      <c r="O94" s="5" t="str">
        <f t="shared" ca="1" si="4"/>
        <v/>
      </c>
      <c r="P94" s="5" t="str">
        <f t="shared" ca="1" si="5"/>
        <v>Sin fecha</v>
      </c>
      <c r="Q94" s="4"/>
      <c r="R94" s="4"/>
      <c r="S94" s="1"/>
      <c r="T94" s="1"/>
      <c r="U94" s="1"/>
      <c r="V94" s="1"/>
      <c r="W94" s="1"/>
      <c r="X94" s="1"/>
      <c r="Y94" s="1"/>
      <c r="Z94" s="1"/>
    </row>
    <row r="95" spans="1:26">
      <c r="A95" s="4"/>
      <c r="B95" s="8"/>
      <c r="C95" s="8"/>
      <c r="D95" s="8"/>
      <c r="E95" s="8"/>
      <c r="F95" s="8"/>
      <c r="G95" s="8"/>
      <c r="H95" s="8"/>
      <c r="I95" s="8"/>
      <c r="J95" s="9"/>
      <c r="K95" s="9"/>
      <c r="L95" s="9"/>
      <c r="M95" s="8"/>
      <c r="N95" s="10"/>
      <c r="O95" s="5" t="str">
        <f t="shared" ca="1" si="4"/>
        <v/>
      </c>
      <c r="P95" s="5" t="str">
        <f t="shared" ca="1" si="5"/>
        <v>Sin fecha</v>
      </c>
      <c r="Q95" s="4"/>
      <c r="R95" s="4"/>
      <c r="S95" s="1"/>
      <c r="T95" s="1"/>
      <c r="U95" s="1"/>
      <c r="V95" s="1"/>
      <c r="W95" s="1"/>
      <c r="X95" s="1"/>
      <c r="Y95" s="1"/>
      <c r="Z95" s="1"/>
    </row>
    <row r="96" spans="1:26">
      <c r="A96" s="4"/>
      <c r="B96" s="8"/>
      <c r="C96" s="8"/>
      <c r="D96" s="8"/>
      <c r="E96" s="8"/>
      <c r="F96" s="8"/>
      <c r="G96" s="8"/>
      <c r="H96" s="8"/>
      <c r="I96" s="8"/>
      <c r="J96" s="9"/>
      <c r="K96" s="9"/>
      <c r="L96" s="9"/>
      <c r="M96" s="8"/>
      <c r="N96" s="10"/>
      <c r="O96" s="5" t="str">
        <f t="shared" ca="1" si="4"/>
        <v/>
      </c>
      <c r="P96" s="5" t="str">
        <f t="shared" ca="1" si="5"/>
        <v>Sin fecha</v>
      </c>
      <c r="Q96" s="4"/>
      <c r="R96" s="4"/>
      <c r="S96" s="1"/>
      <c r="T96" s="1"/>
      <c r="U96" s="1"/>
      <c r="V96" s="1"/>
      <c r="W96" s="1"/>
      <c r="X96" s="1"/>
      <c r="Y96" s="1"/>
      <c r="Z96" s="1"/>
    </row>
    <row r="97" spans="1:26">
      <c r="A97" s="4"/>
      <c r="B97" s="8"/>
      <c r="C97" s="8"/>
      <c r="D97" s="8"/>
      <c r="E97" s="8"/>
      <c r="F97" s="8"/>
      <c r="G97" s="8"/>
      <c r="H97" s="8"/>
      <c r="I97" s="8"/>
      <c r="J97" s="9"/>
      <c r="K97" s="9"/>
      <c r="L97" s="9"/>
      <c r="M97" s="8"/>
      <c r="N97" s="10"/>
      <c r="O97" s="5" t="str">
        <f t="shared" ca="1" si="4"/>
        <v/>
      </c>
      <c r="P97" s="5" t="str">
        <f t="shared" ca="1" si="5"/>
        <v>Sin fecha</v>
      </c>
      <c r="Q97" s="4"/>
      <c r="R97" s="4"/>
      <c r="S97" s="1"/>
      <c r="T97" s="1"/>
      <c r="U97" s="1"/>
      <c r="V97" s="1"/>
      <c r="W97" s="1"/>
      <c r="X97" s="1"/>
      <c r="Y97" s="1"/>
      <c r="Z97" s="1"/>
    </row>
    <row r="98" spans="1:26">
      <c r="A98" s="4"/>
      <c r="B98" s="8"/>
      <c r="C98" s="8"/>
      <c r="D98" s="8"/>
      <c r="E98" s="8"/>
      <c r="F98" s="8"/>
      <c r="G98" s="8"/>
      <c r="H98" s="8"/>
      <c r="I98" s="8"/>
      <c r="J98" s="9"/>
      <c r="K98" s="9"/>
      <c r="L98" s="9"/>
      <c r="M98" s="8"/>
      <c r="N98" s="10"/>
      <c r="O98" s="5" t="str">
        <f t="shared" ca="1" si="4"/>
        <v/>
      </c>
      <c r="P98" s="5" t="str">
        <f t="shared" ca="1" si="5"/>
        <v>Sin fecha</v>
      </c>
      <c r="Q98" s="4"/>
      <c r="R98" s="4"/>
      <c r="S98" s="1"/>
      <c r="T98" s="1"/>
      <c r="U98" s="1"/>
      <c r="V98" s="1"/>
      <c r="W98" s="1"/>
      <c r="X98" s="1"/>
      <c r="Y98" s="1"/>
      <c r="Z98" s="1"/>
    </row>
    <row r="99" spans="1:26">
      <c r="A99" s="4"/>
      <c r="B99" s="8"/>
      <c r="C99" s="8"/>
      <c r="D99" s="8"/>
      <c r="E99" s="8"/>
      <c r="F99" s="8"/>
      <c r="G99" s="8"/>
      <c r="H99" s="8"/>
      <c r="I99" s="8"/>
      <c r="J99" s="9"/>
      <c r="K99" s="9"/>
      <c r="L99" s="9"/>
      <c r="M99" s="8"/>
      <c r="N99" s="10"/>
      <c r="O99" s="5" t="str">
        <f t="shared" ca="1" si="4"/>
        <v/>
      </c>
      <c r="P99" s="5" t="str">
        <f t="shared" ca="1" si="5"/>
        <v>Sin fecha</v>
      </c>
      <c r="Q99" s="4"/>
      <c r="R99" s="4"/>
      <c r="S99" s="1"/>
      <c r="T99" s="1"/>
      <c r="U99" s="1"/>
      <c r="V99" s="1"/>
      <c r="W99" s="1"/>
      <c r="X99" s="1"/>
      <c r="Y99" s="1"/>
      <c r="Z99" s="1"/>
    </row>
    <row r="100" spans="1:26">
      <c r="A100" s="4"/>
      <c r="B100" s="8"/>
      <c r="C100" s="8"/>
      <c r="D100" s="8"/>
      <c r="E100" s="8"/>
      <c r="F100" s="8"/>
      <c r="G100" s="8"/>
      <c r="H100" s="8"/>
      <c r="I100" s="8"/>
      <c r="J100" s="9"/>
      <c r="K100" s="9"/>
      <c r="L100" s="9"/>
      <c r="M100" s="8"/>
      <c r="N100" s="10"/>
      <c r="O100" s="5" t="str">
        <f t="shared" ca="1" si="4"/>
        <v/>
      </c>
      <c r="P100" s="5" t="str">
        <f t="shared" ca="1" si="5"/>
        <v>Sin fecha</v>
      </c>
      <c r="Q100" s="4"/>
      <c r="R100" s="4"/>
      <c r="S100" s="1"/>
      <c r="T100" s="1"/>
      <c r="U100" s="1"/>
      <c r="V100" s="1"/>
      <c r="W100" s="1"/>
      <c r="X100" s="1"/>
      <c r="Y100" s="1"/>
      <c r="Z100" s="1"/>
    </row>
    <row r="101" spans="1:26">
      <c r="A101" s="4"/>
      <c r="B101" s="8"/>
      <c r="C101" s="8"/>
      <c r="D101" s="8"/>
      <c r="E101" s="8"/>
      <c r="F101" s="8"/>
      <c r="G101" s="8"/>
      <c r="H101" s="8"/>
      <c r="I101" s="8"/>
      <c r="J101" s="9"/>
      <c r="K101" s="9"/>
      <c r="L101" s="9"/>
      <c r="M101" s="8"/>
      <c r="N101" s="10"/>
      <c r="O101" s="5" t="str">
        <f t="shared" ca="1" si="4"/>
        <v/>
      </c>
      <c r="P101" s="5" t="str">
        <f t="shared" ca="1" si="5"/>
        <v>Sin fecha</v>
      </c>
      <c r="Q101" s="4"/>
      <c r="R101" s="4"/>
      <c r="S101" s="1"/>
      <c r="T101" s="1"/>
      <c r="U101" s="1"/>
      <c r="V101" s="1"/>
      <c r="W101" s="1"/>
      <c r="X101" s="1"/>
      <c r="Y101" s="1"/>
      <c r="Z101" s="1"/>
    </row>
    <row r="102" spans="1:26">
      <c r="A102" s="4"/>
      <c r="B102" s="8"/>
      <c r="C102" s="8"/>
      <c r="D102" s="8"/>
      <c r="E102" s="8"/>
      <c r="F102" s="8"/>
      <c r="G102" s="8"/>
      <c r="H102" s="8"/>
      <c r="I102" s="8"/>
      <c r="J102" s="9"/>
      <c r="K102" s="9"/>
      <c r="L102" s="9"/>
      <c r="M102" s="8"/>
      <c r="N102" s="10"/>
      <c r="O102" s="5" t="str">
        <f t="shared" ca="1" si="4"/>
        <v/>
      </c>
      <c r="P102" s="5" t="str">
        <f t="shared" ca="1" si="5"/>
        <v>Sin fecha</v>
      </c>
      <c r="Q102" s="4"/>
      <c r="R102" s="4"/>
      <c r="S102" s="1"/>
      <c r="T102" s="1"/>
      <c r="U102" s="1"/>
      <c r="V102" s="1"/>
      <c r="W102" s="1"/>
      <c r="X102" s="1"/>
      <c r="Y102" s="1"/>
      <c r="Z102" s="1"/>
    </row>
    <row r="103" spans="1:26">
      <c r="A103" s="4"/>
      <c r="B103" s="8"/>
      <c r="C103" s="8"/>
      <c r="D103" s="8"/>
      <c r="E103" s="8"/>
      <c r="F103" s="8"/>
      <c r="G103" s="8"/>
      <c r="H103" s="8"/>
      <c r="I103" s="8"/>
      <c r="J103" s="9"/>
      <c r="K103" s="9"/>
      <c r="L103" s="9"/>
      <c r="M103" s="8"/>
      <c r="N103" s="10"/>
      <c r="O103" s="5" t="str">
        <f t="shared" ca="1" si="4"/>
        <v/>
      </c>
      <c r="P103" s="5" t="str">
        <f t="shared" ca="1" si="5"/>
        <v>Sin fecha</v>
      </c>
      <c r="Q103" s="4"/>
      <c r="R103" s="4"/>
      <c r="S103" s="1"/>
      <c r="T103" s="1"/>
      <c r="U103" s="1"/>
      <c r="V103" s="1"/>
      <c r="W103" s="1"/>
      <c r="X103" s="1"/>
      <c r="Y103" s="1"/>
      <c r="Z103" s="1"/>
    </row>
    <row r="104" spans="1:26">
      <c r="A104" s="4"/>
      <c r="B104" s="8"/>
      <c r="C104" s="8"/>
      <c r="D104" s="8"/>
      <c r="E104" s="8"/>
      <c r="F104" s="8"/>
      <c r="G104" s="8"/>
      <c r="H104" s="8"/>
      <c r="I104" s="8"/>
      <c r="J104" s="9"/>
      <c r="K104" s="9"/>
      <c r="L104" s="9"/>
      <c r="M104" s="8"/>
      <c r="N104" s="10"/>
      <c r="O104" s="5" t="str">
        <f t="shared" ca="1" si="4"/>
        <v/>
      </c>
      <c r="P104" s="5" t="str">
        <f t="shared" ca="1" si="5"/>
        <v>Sin fecha</v>
      </c>
      <c r="Q104" s="4"/>
      <c r="R104" s="4"/>
      <c r="S104" s="1"/>
      <c r="T104" s="1"/>
      <c r="U104" s="1"/>
      <c r="V104" s="1"/>
      <c r="W104" s="1"/>
      <c r="X104" s="1"/>
      <c r="Y104" s="1"/>
      <c r="Z104" s="1"/>
    </row>
    <row r="105" spans="1:26">
      <c r="A105" s="4"/>
      <c r="B105" s="8"/>
      <c r="C105" s="8"/>
      <c r="D105" s="8"/>
      <c r="E105" s="8"/>
      <c r="F105" s="8"/>
      <c r="G105" s="8"/>
      <c r="H105" s="8"/>
      <c r="I105" s="8"/>
      <c r="J105" s="9"/>
      <c r="K105" s="9"/>
      <c r="L105" s="9"/>
      <c r="M105" s="8"/>
      <c r="N105" s="10"/>
      <c r="O105" s="5" t="str">
        <f t="shared" ca="1" si="4"/>
        <v/>
      </c>
      <c r="P105" s="5" t="str">
        <f t="shared" ca="1" si="5"/>
        <v>Sin fecha</v>
      </c>
      <c r="Q105" s="4"/>
      <c r="R105" s="4"/>
      <c r="S105" s="1"/>
      <c r="T105" s="1"/>
      <c r="U105" s="1"/>
      <c r="V105" s="1"/>
      <c r="W105" s="1"/>
      <c r="X105" s="1"/>
      <c r="Y105" s="1"/>
      <c r="Z105" s="1"/>
    </row>
    <row r="106" spans="1:26">
      <c r="A106" s="4"/>
      <c r="B106" s="8"/>
      <c r="C106" s="8"/>
      <c r="D106" s="8"/>
      <c r="E106" s="8"/>
      <c r="F106" s="8"/>
      <c r="G106" s="8"/>
      <c r="H106" s="8"/>
      <c r="I106" s="8"/>
      <c r="J106" s="9"/>
      <c r="K106" s="9"/>
      <c r="L106" s="9"/>
      <c r="M106" s="8"/>
      <c r="N106" s="10"/>
      <c r="O106" s="5" t="str">
        <f t="shared" ca="1" si="4"/>
        <v/>
      </c>
      <c r="P106" s="5" t="str">
        <f t="shared" ca="1" si="5"/>
        <v>Sin fecha</v>
      </c>
      <c r="Q106" s="4"/>
      <c r="R106" s="4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2:R2"/>
    <mergeCell ref="A3:R3"/>
  </mergeCells>
  <conditionalFormatting sqref="P7:P106">
    <cfRule type="containsText" dxfId="7" priority="1" operator="containsText" text="Rojo"/>
    <cfRule type="containsText" dxfId="6" priority="2" operator="containsText" text="Amarillo"/>
    <cfRule type="containsText" dxfId="5" priority="3" operator="containsText" text="Verde"/>
  </conditionalFormatting>
  <dataValidations count="2">
    <dataValidation type="list" sqref="M7:M106" xr:uid="{00000000-0002-0000-0100-000000000000}">
      <formula1>"No iniciado,En curso,Pendiente externo,Suspendido,Cerrado"</formula1>
    </dataValidation>
    <dataValidation type="decimal" sqref="N7:N106" xr:uid="{00000000-0002-0000-0100-000001000000}">
      <formula1>0</formula1>
      <formula2>1</formula2>
    </dataValidation>
  </dataValidations>
  <pageMargins left="0.7" right="0.7" top="0.75" bottom="0.75" header="0.3" footer="0.3"/>
  <headerFooter>
    <oddFooter>&amp;L_x000D_&amp;1#&amp;"Aptos"&amp;10&amp;K000000 Información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baseColWidth="10" defaultColWidth="9" defaultRowHeight="14.25"/>
  <cols>
    <col min="1" max="1" width="10" customWidth="1"/>
    <col min="2" max="2" width="16" customWidth="1"/>
    <col min="3" max="3" width="34" customWidth="1"/>
    <col min="4" max="4" width="13" customWidth="1"/>
    <col min="5" max="5" width="10" customWidth="1"/>
    <col min="6" max="6" width="38" customWidth="1"/>
    <col min="7" max="8" width="13" customWidth="1"/>
    <col min="9" max="9" width="15" customWidth="1"/>
    <col min="10" max="10" width="28" customWidth="1"/>
    <col min="11" max="13" width="22" customWidth="1"/>
    <col min="14" max="15" width="15" customWidth="1"/>
    <col min="16" max="17" width="13" customWidth="1"/>
    <col min="18" max="18" width="12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>
      <c r="A2" s="11" t="s">
        <v>126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"/>
      <c r="T2" s="1"/>
      <c r="U2" s="1"/>
      <c r="V2" s="1"/>
      <c r="W2" s="1"/>
      <c r="X2" s="1"/>
      <c r="Y2" s="1"/>
      <c r="Z2" s="1"/>
    </row>
    <row r="3" spans="1:26">
      <c r="A3" s="13" t="s">
        <v>127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"/>
      <c r="T3" s="1"/>
      <c r="U3" s="1"/>
      <c r="V3" s="1"/>
      <c r="W3" s="1"/>
      <c r="X3" s="1"/>
      <c r="Y3" s="1"/>
      <c r="Z3" s="1"/>
    </row>
    <row r="4" spans="1:26" ht="3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2.1" customHeight="1">
      <c r="A6" s="3" t="s">
        <v>128</v>
      </c>
      <c r="B6" s="3" t="s">
        <v>129</v>
      </c>
      <c r="C6" s="3" t="s">
        <v>130</v>
      </c>
      <c r="D6" s="3" t="s">
        <v>131</v>
      </c>
      <c r="E6" s="3" t="s">
        <v>132</v>
      </c>
      <c r="F6" s="3" t="s">
        <v>133</v>
      </c>
      <c r="G6" s="3" t="s">
        <v>134</v>
      </c>
      <c r="H6" s="3" t="s">
        <v>135</v>
      </c>
      <c r="I6" s="3" t="s">
        <v>136</v>
      </c>
      <c r="J6" s="3" t="s">
        <v>137</v>
      </c>
      <c r="K6" s="3" t="s">
        <v>138</v>
      </c>
      <c r="L6" s="3" t="s">
        <v>139</v>
      </c>
      <c r="M6" s="3" t="s">
        <v>140</v>
      </c>
      <c r="N6" s="3" t="s">
        <v>141</v>
      </c>
      <c r="O6" s="3" t="s">
        <v>142</v>
      </c>
      <c r="P6" s="3" t="s">
        <v>143</v>
      </c>
      <c r="Q6" s="3" t="s">
        <v>144</v>
      </c>
      <c r="R6" s="3" t="s">
        <v>63</v>
      </c>
      <c r="S6" s="1"/>
      <c r="T6" s="1"/>
      <c r="U6" s="1"/>
      <c r="V6" s="1"/>
      <c r="W6" s="1"/>
      <c r="X6" s="1"/>
      <c r="Y6" s="1"/>
      <c r="Z6" s="1"/>
    </row>
    <row r="7" spans="1:26">
      <c r="A7" s="4" t="s">
        <v>145</v>
      </c>
      <c r="B7" s="4" t="s">
        <v>146</v>
      </c>
      <c r="C7" s="4" t="s">
        <v>147</v>
      </c>
      <c r="D7" s="4" t="s">
        <v>148</v>
      </c>
      <c r="E7" s="4" t="s">
        <v>149</v>
      </c>
      <c r="F7" s="4" t="s">
        <v>150</v>
      </c>
      <c r="G7" s="4" t="s">
        <v>151</v>
      </c>
      <c r="H7" s="6">
        <v>1</v>
      </c>
      <c r="I7" s="6">
        <v>0.9</v>
      </c>
      <c r="J7" s="4" t="s">
        <v>152</v>
      </c>
      <c r="K7" s="4" t="s">
        <v>29</v>
      </c>
      <c r="L7" s="4" t="s">
        <v>29</v>
      </c>
      <c r="M7" s="4" t="s">
        <v>69</v>
      </c>
      <c r="N7" s="8"/>
      <c r="O7" s="8"/>
      <c r="P7" s="7" t="str">
        <f t="shared" ref="P7:P38" si="0">IFERROR(N7/O7,"")</f>
        <v/>
      </c>
      <c r="Q7" s="9"/>
      <c r="R7" s="4" t="str">
        <f t="shared" ref="R7:R38" si="1">IF(P7="","Sin dato",IF(A7="SV-01",IF(P7&lt;=H7,"Verde",IF(P7&lt;=I7,"Amarillo","Rojo")),IF(P7&gt;=H7,"Verde",IF(P7&gt;=I7,"Amarillo","Rojo"))))</f>
        <v>Sin dato</v>
      </c>
      <c r="S7" s="1"/>
      <c r="T7" s="1"/>
      <c r="U7" s="1"/>
      <c r="V7" s="1"/>
      <c r="W7" s="1"/>
      <c r="X7" s="1"/>
      <c r="Y7" s="1"/>
      <c r="Z7" s="1"/>
    </row>
    <row r="8" spans="1:26">
      <c r="A8" s="4" t="s">
        <v>153</v>
      </c>
      <c r="B8" s="4" t="s">
        <v>154</v>
      </c>
      <c r="C8" s="4" t="s">
        <v>155</v>
      </c>
      <c r="D8" s="4" t="s">
        <v>148</v>
      </c>
      <c r="E8" s="4" t="s">
        <v>149</v>
      </c>
      <c r="F8" s="4" t="s">
        <v>156</v>
      </c>
      <c r="G8" s="4" t="s">
        <v>157</v>
      </c>
      <c r="H8" s="6">
        <v>0.8</v>
      </c>
      <c r="I8" s="6">
        <v>0.6</v>
      </c>
      <c r="J8" s="4" t="s">
        <v>24</v>
      </c>
      <c r="K8" s="4" t="s">
        <v>158</v>
      </c>
      <c r="L8" s="4" t="s">
        <v>83</v>
      </c>
      <c r="M8" s="4" t="s">
        <v>29</v>
      </c>
      <c r="N8" s="8"/>
      <c r="O8" s="8"/>
      <c r="P8" s="7" t="str">
        <f t="shared" si="0"/>
        <v/>
      </c>
      <c r="Q8" s="9"/>
      <c r="R8" s="4" t="str">
        <f t="shared" si="1"/>
        <v>Sin dato</v>
      </c>
      <c r="S8" s="1"/>
      <c r="T8" s="1"/>
      <c r="U8" s="1"/>
      <c r="V8" s="1"/>
      <c r="W8" s="1"/>
      <c r="X8" s="1"/>
      <c r="Y8" s="1"/>
      <c r="Z8" s="1"/>
    </row>
    <row r="9" spans="1:26">
      <c r="A9" s="4" t="s">
        <v>159</v>
      </c>
      <c r="B9" s="4" t="s">
        <v>154</v>
      </c>
      <c r="C9" s="4" t="s">
        <v>160</v>
      </c>
      <c r="D9" s="4" t="s">
        <v>161</v>
      </c>
      <c r="E9" s="4" t="s">
        <v>149</v>
      </c>
      <c r="F9" s="4" t="s">
        <v>162</v>
      </c>
      <c r="G9" s="4" t="s">
        <v>157</v>
      </c>
      <c r="H9" s="6">
        <v>0.8</v>
      </c>
      <c r="I9" s="6">
        <v>0.6</v>
      </c>
      <c r="J9" s="4" t="s">
        <v>92</v>
      </c>
      <c r="K9" s="4" t="s">
        <v>163</v>
      </c>
      <c r="L9" s="4" t="s">
        <v>83</v>
      </c>
      <c r="M9" s="4" t="s">
        <v>93</v>
      </c>
      <c r="N9" s="8"/>
      <c r="O9" s="8"/>
      <c r="P9" s="7" t="str">
        <f t="shared" si="0"/>
        <v/>
      </c>
      <c r="Q9" s="9"/>
      <c r="R9" s="4" t="str">
        <f t="shared" si="1"/>
        <v>Sin dato</v>
      </c>
      <c r="S9" s="1"/>
      <c r="T9" s="1"/>
      <c r="U9" s="1"/>
      <c r="V9" s="1"/>
      <c r="W9" s="1"/>
      <c r="X9" s="1"/>
      <c r="Y9" s="1"/>
      <c r="Z9" s="1"/>
    </row>
    <row r="10" spans="1:26" ht="25.5">
      <c r="A10" s="4" t="s">
        <v>164</v>
      </c>
      <c r="B10" s="4" t="s">
        <v>165</v>
      </c>
      <c r="C10" s="4" t="s">
        <v>166</v>
      </c>
      <c r="D10" s="4" t="s">
        <v>148</v>
      </c>
      <c r="E10" s="4" t="s">
        <v>149</v>
      </c>
      <c r="F10" s="4" t="s">
        <v>167</v>
      </c>
      <c r="G10" s="4" t="s">
        <v>168</v>
      </c>
      <c r="H10" s="6">
        <v>0.9</v>
      </c>
      <c r="I10" s="6">
        <v>0.75</v>
      </c>
      <c r="J10" s="4" t="s">
        <v>169</v>
      </c>
      <c r="K10" s="4" t="s">
        <v>116</v>
      </c>
      <c r="L10" s="4" t="s">
        <v>29</v>
      </c>
      <c r="M10" s="4" t="s">
        <v>69</v>
      </c>
      <c r="N10" s="8"/>
      <c r="O10" s="8"/>
      <c r="P10" s="7" t="str">
        <f t="shared" si="0"/>
        <v/>
      </c>
      <c r="Q10" s="9"/>
      <c r="R10" s="4" t="str">
        <f t="shared" si="1"/>
        <v>Sin dato</v>
      </c>
      <c r="S10" s="1"/>
      <c r="T10" s="1"/>
      <c r="U10" s="1"/>
      <c r="V10" s="1"/>
      <c r="W10" s="1"/>
      <c r="X10" s="1"/>
      <c r="Y10" s="1"/>
      <c r="Z10" s="1"/>
    </row>
    <row r="11" spans="1:26" ht="25.5">
      <c r="A11" s="4" t="s">
        <v>170</v>
      </c>
      <c r="B11" s="4" t="s">
        <v>171</v>
      </c>
      <c r="C11" s="4" t="s">
        <v>172</v>
      </c>
      <c r="D11" s="4" t="s">
        <v>161</v>
      </c>
      <c r="E11" s="4" t="s">
        <v>149</v>
      </c>
      <c r="F11" s="4" t="s">
        <v>173</v>
      </c>
      <c r="G11" s="4" t="s">
        <v>174</v>
      </c>
      <c r="H11" s="6">
        <v>1</v>
      </c>
      <c r="I11" s="6">
        <v>0.9</v>
      </c>
      <c r="J11" s="4" t="s">
        <v>175</v>
      </c>
      <c r="K11" s="4" t="s">
        <v>94</v>
      </c>
      <c r="L11" s="4" t="s">
        <v>176</v>
      </c>
      <c r="M11" s="4" t="s">
        <v>103</v>
      </c>
      <c r="N11" s="8"/>
      <c r="O11" s="8"/>
      <c r="P11" s="7" t="str">
        <f t="shared" si="0"/>
        <v/>
      </c>
      <c r="Q11" s="9"/>
      <c r="R11" s="4" t="str">
        <f t="shared" si="1"/>
        <v>Sin dato</v>
      </c>
      <c r="S11" s="1"/>
      <c r="T11" s="1"/>
      <c r="U11" s="1"/>
      <c r="V11" s="1"/>
      <c r="W11" s="1"/>
      <c r="X11" s="1"/>
      <c r="Y11" s="1"/>
      <c r="Z11" s="1"/>
    </row>
    <row r="12" spans="1:26" ht="25.5">
      <c r="A12" s="4" t="s">
        <v>177</v>
      </c>
      <c r="B12" s="4" t="s">
        <v>178</v>
      </c>
      <c r="C12" s="4" t="s">
        <v>179</v>
      </c>
      <c r="D12" s="4" t="s">
        <v>143</v>
      </c>
      <c r="E12" s="4" t="s">
        <v>149</v>
      </c>
      <c r="F12" s="4" t="s">
        <v>180</v>
      </c>
      <c r="G12" s="4" t="s">
        <v>181</v>
      </c>
      <c r="H12" s="6">
        <v>1</v>
      </c>
      <c r="I12" s="6">
        <v>0.9</v>
      </c>
      <c r="J12" s="4" t="s">
        <v>182</v>
      </c>
      <c r="K12" s="4" t="s">
        <v>94</v>
      </c>
      <c r="L12" s="4" t="s">
        <v>29</v>
      </c>
      <c r="M12" s="4" t="s">
        <v>69</v>
      </c>
      <c r="N12" s="8"/>
      <c r="O12" s="8"/>
      <c r="P12" s="7" t="str">
        <f t="shared" si="0"/>
        <v/>
      </c>
      <c r="Q12" s="9"/>
      <c r="R12" s="4" t="str">
        <f t="shared" si="1"/>
        <v>Sin dato</v>
      </c>
      <c r="S12" s="1"/>
      <c r="T12" s="1"/>
      <c r="U12" s="1"/>
      <c r="V12" s="1"/>
      <c r="W12" s="1"/>
      <c r="X12" s="1"/>
      <c r="Y12" s="1"/>
      <c r="Z12" s="1"/>
    </row>
    <row r="13" spans="1:26" ht="25.5">
      <c r="A13" s="4" t="s">
        <v>183</v>
      </c>
      <c r="B13" s="4" t="s">
        <v>184</v>
      </c>
      <c r="C13" s="4" t="s">
        <v>185</v>
      </c>
      <c r="D13" s="4" t="s">
        <v>161</v>
      </c>
      <c r="E13" s="4" t="s">
        <v>149</v>
      </c>
      <c r="F13" s="4" t="s">
        <v>186</v>
      </c>
      <c r="G13" s="4" t="s">
        <v>168</v>
      </c>
      <c r="H13" s="6">
        <v>0.95</v>
      </c>
      <c r="I13" s="6">
        <v>0.8</v>
      </c>
      <c r="J13" s="4" t="s">
        <v>187</v>
      </c>
      <c r="K13" s="4" t="s">
        <v>188</v>
      </c>
      <c r="L13" s="4" t="s">
        <v>189</v>
      </c>
      <c r="M13" s="4" t="s">
        <v>86</v>
      </c>
      <c r="N13" s="8"/>
      <c r="O13" s="8"/>
      <c r="P13" s="7" t="str">
        <f t="shared" si="0"/>
        <v/>
      </c>
      <c r="Q13" s="9"/>
      <c r="R13" s="4" t="str">
        <f t="shared" si="1"/>
        <v>Sin dato</v>
      </c>
      <c r="S13" s="1"/>
      <c r="T13" s="1"/>
      <c r="U13" s="1"/>
      <c r="V13" s="1"/>
      <c r="W13" s="1"/>
      <c r="X13" s="1"/>
      <c r="Y13" s="1"/>
      <c r="Z13" s="1"/>
    </row>
    <row r="14" spans="1:26" ht="25.5">
      <c r="A14" s="4" t="s">
        <v>190</v>
      </c>
      <c r="B14" s="4" t="s">
        <v>191</v>
      </c>
      <c r="C14" s="4" t="s">
        <v>192</v>
      </c>
      <c r="D14" s="4" t="s">
        <v>148</v>
      </c>
      <c r="E14" s="4" t="s">
        <v>149</v>
      </c>
      <c r="F14" s="4" t="s">
        <v>193</v>
      </c>
      <c r="G14" s="4" t="s">
        <v>168</v>
      </c>
      <c r="H14" s="6">
        <v>0.85</v>
      </c>
      <c r="I14" s="6">
        <v>0.7</v>
      </c>
      <c r="J14" s="4" t="s">
        <v>194</v>
      </c>
      <c r="K14" s="4" t="s">
        <v>29</v>
      </c>
      <c r="L14" s="4" t="s">
        <v>29</v>
      </c>
      <c r="M14" s="4" t="s">
        <v>86</v>
      </c>
      <c r="N14" s="8"/>
      <c r="O14" s="8"/>
      <c r="P14" s="7" t="str">
        <f t="shared" si="0"/>
        <v/>
      </c>
      <c r="Q14" s="9"/>
      <c r="R14" s="4" t="str">
        <f t="shared" si="1"/>
        <v>Sin dato</v>
      </c>
      <c r="S14" s="1"/>
      <c r="T14" s="1"/>
      <c r="U14" s="1"/>
      <c r="V14" s="1"/>
      <c r="W14" s="1"/>
      <c r="X14" s="1"/>
      <c r="Y14" s="1"/>
      <c r="Z14" s="1"/>
    </row>
    <row r="15" spans="1:26" ht="25.5">
      <c r="A15" s="4" t="s">
        <v>195</v>
      </c>
      <c r="B15" s="4" t="s">
        <v>196</v>
      </c>
      <c r="C15" s="4" t="s">
        <v>197</v>
      </c>
      <c r="D15" s="4" t="s">
        <v>143</v>
      </c>
      <c r="E15" s="4" t="s">
        <v>149</v>
      </c>
      <c r="F15" s="4" t="s">
        <v>198</v>
      </c>
      <c r="G15" s="4" t="s">
        <v>151</v>
      </c>
      <c r="H15" s="6">
        <v>0.9</v>
      </c>
      <c r="I15" s="6">
        <v>0.75</v>
      </c>
      <c r="J15" s="4" t="s">
        <v>42</v>
      </c>
      <c r="K15" s="4" t="s">
        <v>116</v>
      </c>
      <c r="L15" s="4" t="s">
        <v>199</v>
      </c>
      <c r="M15" s="4" t="s">
        <v>69</v>
      </c>
      <c r="N15" s="8"/>
      <c r="O15" s="8"/>
      <c r="P15" s="7" t="str">
        <f t="shared" si="0"/>
        <v/>
      </c>
      <c r="Q15" s="9"/>
      <c r="R15" s="4" t="str">
        <f t="shared" si="1"/>
        <v>Sin dato</v>
      </c>
      <c r="S15" s="1"/>
      <c r="T15" s="1"/>
      <c r="U15" s="1"/>
      <c r="V15" s="1"/>
      <c r="W15" s="1"/>
      <c r="X15" s="1"/>
      <c r="Y15" s="1"/>
      <c r="Z15" s="1"/>
    </row>
    <row r="16" spans="1:26" ht="25.5">
      <c r="A16" s="4" t="s">
        <v>200</v>
      </c>
      <c r="B16" s="4" t="s">
        <v>201</v>
      </c>
      <c r="C16" s="4" t="s">
        <v>202</v>
      </c>
      <c r="D16" s="4" t="s">
        <v>143</v>
      </c>
      <c r="E16" s="4" t="s">
        <v>149</v>
      </c>
      <c r="F16" s="4" t="s">
        <v>203</v>
      </c>
      <c r="G16" s="4" t="s">
        <v>204</v>
      </c>
      <c r="H16" s="6">
        <v>0.8</v>
      </c>
      <c r="I16" s="6">
        <v>0.6</v>
      </c>
      <c r="J16" s="4" t="s">
        <v>205</v>
      </c>
      <c r="K16" s="4" t="s">
        <v>206</v>
      </c>
      <c r="L16" s="4" t="s">
        <v>83</v>
      </c>
      <c r="M16" s="4" t="s">
        <v>207</v>
      </c>
      <c r="N16" s="8"/>
      <c r="O16" s="8"/>
      <c r="P16" s="7" t="str">
        <f t="shared" si="0"/>
        <v/>
      </c>
      <c r="Q16" s="9"/>
      <c r="R16" s="4" t="str">
        <f t="shared" si="1"/>
        <v>Sin dato</v>
      </c>
      <c r="S16" s="1"/>
      <c r="T16" s="1"/>
      <c r="U16" s="1"/>
      <c r="V16" s="1"/>
      <c r="W16" s="1"/>
      <c r="X16" s="1"/>
      <c r="Y16" s="1"/>
      <c r="Z16" s="1"/>
    </row>
    <row r="17" spans="1:26" ht="25.5">
      <c r="A17" s="4" t="s">
        <v>208</v>
      </c>
      <c r="B17" s="4" t="s">
        <v>209</v>
      </c>
      <c r="C17" s="4" t="s">
        <v>210</v>
      </c>
      <c r="D17" s="4" t="s">
        <v>211</v>
      </c>
      <c r="E17" s="4" t="s">
        <v>149</v>
      </c>
      <c r="F17" s="4" t="s">
        <v>212</v>
      </c>
      <c r="G17" s="4" t="s">
        <v>204</v>
      </c>
      <c r="H17" s="6">
        <v>-0.1</v>
      </c>
      <c r="I17" s="6">
        <v>0</v>
      </c>
      <c r="J17" s="4" t="s">
        <v>213</v>
      </c>
      <c r="K17" s="4" t="s">
        <v>83</v>
      </c>
      <c r="L17" s="4" t="s">
        <v>83</v>
      </c>
      <c r="M17" s="4" t="s">
        <v>69</v>
      </c>
      <c r="N17" s="8"/>
      <c r="O17" s="8"/>
      <c r="P17" s="7" t="str">
        <f t="shared" si="0"/>
        <v/>
      </c>
      <c r="Q17" s="9"/>
      <c r="R17" s="4" t="str">
        <f t="shared" si="1"/>
        <v>Sin dato</v>
      </c>
      <c r="S17" s="1"/>
      <c r="T17" s="1"/>
      <c r="U17" s="1"/>
      <c r="V17" s="1"/>
      <c r="W17" s="1"/>
      <c r="X17" s="1"/>
      <c r="Y17" s="1"/>
      <c r="Z17" s="1"/>
    </row>
    <row r="18" spans="1:26" ht="25.5">
      <c r="A18" s="4" t="s">
        <v>214</v>
      </c>
      <c r="B18" s="4" t="s">
        <v>215</v>
      </c>
      <c r="C18" s="4" t="s">
        <v>216</v>
      </c>
      <c r="D18" s="4" t="s">
        <v>161</v>
      </c>
      <c r="E18" s="4" t="s">
        <v>149</v>
      </c>
      <c r="F18" s="4" t="s">
        <v>217</v>
      </c>
      <c r="G18" s="4" t="s">
        <v>151</v>
      </c>
      <c r="H18" s="6">
        <v>1</v>
      </c>
      <c r="I18" s="6">
        <v>0.9</v>
      </c>
      <c r="J18" s="4" t="s">
        <v>218</v>
      </c>
      <c r="K18" s="4" t="s">
        <v>219</v>
      </c>
      <c r="L18" s="4" t="s">
        <v>220</v>
      </c>
      <c r="M18" s="4" t="s">
        <v>115</v>
      </c>
      <c r="N18" s="8"/>
      <c r="O18" s="8"/>
      <c r="P18" s="7" t="str">
        <f t="shared" si="0"/>
        <v/>
      </c>
      <c r="Q18" s="9"/>
      <c r="R18" s="4" t="str">
        <f t="shared" si="1"/>
        <v>Sin dato</v>
      </c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4"/>
      <c r="D19" s="4"/>
      <c r="E19" s="4"/>
      <c r="F19" s="4"/>
      <c r="G19" s="4"/>
      <c r="H19" s="6"/>
      <c r="I19" s="6"/>
      <c r="J19" s="4"/>
      <c r="K19" s="4"/>
      <c r="L19" s="4"/>
      <c r="M19" s="4"/>
      <c r="N19" s="8"/>
      <c r="O19" s="8"/>
      <c r="P19" s="7" t="str">
        <f t="shared" si="0"/>
        <v/>
      </c>
      <c r="Q19" s="9"/>
      <c r="R19" s="4" t="str">
        <f t="shared" si="1"/>
        <v>Sin dato</v>
      </c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4"/>
      <c r="D20" s="4"/>
      <c r="E20" s="4"/>
      <c r="F20" s="4"/>
      <c r="G20" s="4"/>
      <c r="H20" s="6"/>
      <c r="I20" s="6"/>
      <c r="J20" s="4"/>
      <c r="K20" s="4"/>
      <c r="L20" s="4"/>
      <c r="M20" s="4"/>
      <c r="N20" s="8"/>
      <c r="O20" s="8"/>
      <c r="P20" s="7" t="str">
        <f t="shared" si="0"/>
        <v/>
      </c>
      <c r="Q20" s="9"/>
      <c r="R20" s="4" t="str">
        <f t="shared" si="1"/>
        <v>Sin dato</v>
      </c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4"/>
      <c r="D21" s="4"/>
      <c r="E21" s="4"/>
      <c r="F21" s="4"/>
      <c r="G21" s="4"/>
      <c r="H21" s="6"/>
      <c r="I21" s="6"/>
      <c r="J21" s="4"/>
      <c r="K21" s="4"/>
      <c r="L21" s="4"/>
      <c r="M21" s="4"/>
      <c r="N21" s="8"/>
      <c r="O21" s="8"/>
      <c r="P21" s="7" t="str">
        <f t="shared" si="0"/>
        <v/>
      </c>
      <c r="Q21" s="9"/>
      <c r="R21" s="4" t="str">
        <f t="shared" si="1"/>
        <v>Sin dato</v>
      </c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4"/>
      <c r="D22" s="4"/>
      <c r="E22" s="4"/>
      <c r="F22" s="4"/>
      <c r="G22" s="4"/>
      <c r="H22" s="6"/>
      <c r="I22" s="6"/>
      <c r="J22" s="4"/>
      <c r="K22" s="4"/>
      <c r="L22" s="4"/>
      <c r="M22" s="4"/>
      <c r="N22" s="8"/>
      <c r="O22" s="8"/>
      <c r="P22" s="7" t="str">
        <f t="shared" si="0"/>
        <v/>
      </c>
      <c r="Q22" s="9"/>
      <c r="R22" s="4" t="str">
        <f t="shared" si="1"/>
        <v>Sin dato</v>
      </c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4"/>
      <c r="D23" s="4"/>
      <c r="E23" s="4"/>
      <c r="F23" s="4"/>
      <c r="G23" s="4"/>
      <c r="H23" s="6"/>
      <c r="I23" s="6"/>
      <c r="J23" s="4"/>
      <c r="K23" s="4"/>
      <c r="L23" s="4"/>
      <c r="M23" s="4"/>
      <c r="N23" s="8"/>
      <c r="O23" s="8"/>
      <c r="P23" s="7" t="str">
        <f t="shared" si="0"/>
        <v/>
      </c>
      <c r="Q23" s="9"/>
      <c r="R23" s="4" t="str">
        <f t="shared" si="1"/>
        <v>Sin dato</v>
      </c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4"/>
      <c r="D24" s="4"/>
      <c r="E24" s="4"/>
      <c r="F24" s="4"/>
      <c r="G24" s="4"/>
      <c r="H24" s="6"/>
      <c r="I24" s="6"/>
      <c r="J24" s="4"/>
      <c r="K24" s="4"/>
      <c r="L24" s="4"/>
      <c r="M24" s="4"/>
      <c r="N24" s="8"/>
      <c r="O24" s="8"/>
      <c r="P24" s="7" t="str">
        <f t="shared" si="0"/>
        <v/>
      </c>
      <c r="Q24" s="9"/>
      <c r="R24" s="4" t="str">
        <f t="shared" si="1"/>
        <v>Sin dato</v>
      </c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4"/>
      <c r="D25" s="4"/>
      <c r="E25" s="4"/>
      <c r="F25" s="4"/>
      <c r="G25" s="4"/>
      <c r="H25" s="6"/>
      <c r="I25" s="6"/>
      <c r="J25" s="4"/>
      <c r="K25" s="4"/>
      <c r="L25" s="4"/>
      <c r="M25" s="4"/>
      <c r="N25" s="8"/>
      <c r="O25" s="8"/>
      <c r="P25" s="7" t="str">
        <f t="shared" si="0"/>
        <v/>
      </c>
      <c r="Q25" s="9"/>
      <c r="R25" s="4" t="str">
        <f t="shared" si="1"/>
        <v>Sin dato</v>
      </c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4"/>
      <c r="D26" s="4"/>
      <c r="E26" s="4"/>
      <c r="F26" s="4"/>
      <c r="G26" s="4"/>
      <c r="H26" s="6"/>
      <c r="I26" s="6"/>
      <c r="J26" s="4"/>
      <c r="K26" s="4"/>
      <c r="L26" s="4"/>
      <c r="M26" s="4"/>
      <c r="N26" s="8"/>
      <c r="O26" s="8"/>
      <c r="P26" s="7" t="str">
        <f t="shared" si="0"/>
        <v/>
      </c>
      <c r="Q26" s="9"/>
      <c r="R26" s="4" t="str">
        <f t="shared" si="1"/>
        <v>Sin dato</v>
      </c>
      <c r="S26" s="1"/>
      <c r="T26" s="1"/>
      <c r="U26" s="1"/>
      <c r="V26" s="1"/>
      <c r="W26" s="1"/>
      <c r="X26" s="1"/>
      <c r="Y26" s="1"/>
      <c r="Z26" s="1"/>
    </row>
    <row r="27" spans="1:26">
      <c r="A27" s="4"/>
      <c r="B27" s="4"/>
      <c r="C27" s="4"/>
      <c r="D27" s="4"/>
      <c r="E27" s="4"/>
      <c r="F27" s="4"/>
      <c r="G27" s="4"/>
      <c r="H27" s="6"/>
      <c r="I27" s="6"/>
      <c r="J27" s="4"/>
      <c r="K27" s="4"/>
      <c r="L27" s="4"/>
      <c r="M27" s="4"/>
      <c r="N27" s="8"/>
      <c r="O27" s="8"/>
      <c r="P27" s="7" t="str">
        <f t="shared" si="0"/>
        <v/>
      </c>
      <c r="Q27" s="9"/>
      <c r="R27" s="4" t="str">
        <f t="shared" si="1"/>
        <v>Sin dato</v>
      </c>
      <c r="S27" s="1"/>
      <c r="T27" s="1"/>
      <c r="U27" s="1"/>
      <c r="V27" s="1"/>
      <c r="W27" s="1"/>
      <c r="X27" s="1"/>
      <c r="Y27" s="1"/>
      <c r="Z27" s="1"/>
    </row>
    <row r="28" spans="1:26">
      <c r="A28" s="4"/>
      <c r="B28" s="4"/>
      <c r="C28" s="4"/>
      <c r="D28" s="4"/>
      <c r="E28" s="4"/>
      <c r="F28" s="4"/>
      <c r="G28" s="4"/>
      <c r="H28" s="6"/>
      <c r="I28" s="6"/>
      <c r="J28" s="4"/>
      <c r="K28" s="4"/>
      <c r="L28" s="4"/>
      <c r="M28" s="4"/>
      <c r="N28" s="8"/>
      <c r="O28" s="8"/>
      <c r="P28" s="7" t="str">
        <f t="shared" si="0"/>
        <v/>
      </c>
      <c r="Q28" s="9"/>
      <c r="R28" s="4" t="str">
        <f t="shared" si="1"/>
        <v>Sin dato</v>
      </c>
      <c r="S28" s="1"/>
      <c r="T28" s="1"/>
      <c r="U28" s="1"/>
      <c r="V28" s="1"/>
      <c r="W28" s="1"/>
      <c r="X28" s="1"/>
      <c r="Y28" s="1"/>
      <c r="Z28" s="1"/>
    </row>
    <row r="29" spans="1:26">
      <c r="A29" s="4"/>
      <c r="B29" s="4"/>
      <c r="C29" s="4"/>
      <c r="D29" s="4"/>
      <c r="E29" s="4"/>
      <c r="F29" s="4"/>
      <c r="G29" s="4"/>
      <c r="H29" s="6"/>
      <c r="I29" s="6"/>
      <c r="J29" s="4"/>
      <c r="K29" s="4"/>
      <c r="L29" s="4"/>
      <c r="M29" s="4"/>
      <c r="N29" s="8"/>
      <c r="O29" s="8"/>
      <c r="P29" s="7" t="str">
        <f t="shared" si="0"/>
        <v/>
      </c>
      <c r="Q29" s="9"/>
      <c r="R29" s="4" t="str">
        <f t="shared" si="1"/>
        <v>Sin dato</v>
      </c>
      <c r="S29" s="1"/>
      <c r="T29" s="1"/>
      <c r="U29" s="1"/>
      <c r="V29" s="1"/>
      <c r="W29" s="1"/>
      <c r="X29" s="1"/>
      <c r="Y29" s="1"/>
      <c r="Z29" s="1"/>
    </row>
    <row r="30" spans="1:26">
      <c r="A30" s="4"/>
      <c r="B30" s="4"/>
      <c r="C30" s="4"/>
      <c r="D30" s="4"/>
      <c r="E30" s="4"/>
      <c r="F30" s="4"/>
      <c r="G30" s="4"/>
      <c r="H30" s="6"/>
      <c r="I30" s="6"/>
      <c r="J30" s="4"/>
      <c r="K30" s="4"/>
      <c r="L30" s="4"/>
      <c r="M30" s="4"/>
      <c r="N30" s="8"/>
      <c r="O30" s="8"/>
      <c r="P30" s="7" t="str">
        <f t="shared" si="0"/>
        <v/>
      </c>
      <c r="Q30" s="9"/>
      <c r="R30" s="4" t="str">
        <f t="shared" si="1"/>
        <v>Sin dato</v>
      </c>
      <c r="S30" s="1"/>
      <c r="T30" s="1"/>
      <c r="U30" s="1"/>
      <c r="V30" s="1"/>
      <c r="W30" s="1"/>
      <c r="X30" s="1"/>
      <c r="Y30" s="1"/>
      <c r="Z30" s="1"/>
    </row>
    <row r="31" spans="1:26">
      <c r="A31" s="4"/>
      <c r="B31" s="4"/>
      <c r="C31" s="4"/>
      <c r="D31" s="4"/>
      <c r="E31" s="4"/>
      <c r="F31" s="4"/>
      <c r="G31" s="4"/>
      <c r="H31" s="6"/>
      <c r="I31" s="6"/>
      <c r="J31" s="4"/>
      <c r="K31" s="4"/>
      <c r="L31" s="4"/>
      <c r="M31" s="4"/>
      <c r="N31" s="8"/>
      <c r="O31" s="8"/>
      <c r="P31" s="7" t="str">
        <f t="shared" si="0"/>
        <v/>
      </c>
      <c r="Q31" s="9"/>
      <c r="R31" s="4" t="str">
        <f t="shared" si="1"/>
        <v>Sin dato</v>
      </c>
      <c r="S31" s="1"/>
      <c r="T31" s="1"/>
      <c r="U31" s="1"/>
      <c r="V31" s="1"/>
      <c r="W31" s="1"/>
      <c r="X31" s="1"/>
      <c r="Y31" s="1"/>
      <c r="Z31" s="1"/>
    </row>
    <row r="32" spans="1:26">
      <c r="A32" s="4"/>
      <c r="B32" s="4"/>
      <c r="C32" s="4"/>
      <c r="D32" s="4"/>
      <c r="E32" s="4"/>
      <c r="F32" s="4"/>
      <c r="G32" s="4"/>
      <c r="H32" s="6"/>
      <c r="I32" s="6"/>
      <c r="J32" s="4"/>
      <c r="K32" s="4"/>
      <c r="L32" s="4"/>
      <c r="M32" s="4"/>
      <c r="N32" s="8"/>
      <c r="O32" s="8"/>
      <c r="P32" s="7" t="str">
        <f t="shared" si="0"/>
        <v/>
      </c>
      <c r="Q32" s="9"/>
      <c r="R32" s="4" t="str">
        <f t="shared" si="1"/>
        <v>Sin dato</v>
      </c>
      <c r="S32" s="1"/>
      <c r="T32" s="1"/>
      <c r="U32" s="1"/>
      <c r="V32" s="1"/>
      <c r="W32" s="1"/>
      <c r="X32" s="1"/>
      <c r="Y32" s="1"/>
      <c r="Z32" s="1"/>
    </row>
    <row r="33" spans="1:26">
      <c r="A33" s="4"/>
      <c r="B33" s="4"/>
      <c r="C33" s="4"/>
      <c r="D33" s="4"/>
      <c r="E33" s="4"/>
      <c r="F33" s="4"/>
      <c r="G33" s="4"/>
      <c r="H33" s="6"/>
      <c r="I33" s="6"/>
      <c r="J33" s="4"/>
      <c r="K33" s="4"/>
      <c r="L33" s="4"/>
      <c r="M33" s="4"/>
      <c r="N33" s="8"/>
      <c r="O33" s="8"/>
      <c r="P33" s="7" t="str">
        <f t="shared" si="0"/>
        <v/>
      </c>
      <c r="Q33" s="9"/>
      <c r="R33" s="4" t="str">
        <f t="shared" si="1"/>
        <v>Sin dato</v>
      </c>
      <c r="S33" s="1"/>
      <c r="T33" s="1"/>
      <c r="U33" s="1"/>
      <c r="V33" s="1"/>
      <c r="W33" s="1"/>
      <c r="X33" s="1"/>
      <c r="Y33" s="1"/>
      <c r="Z33" s="1"/>
    </row>
    <row r="34" spans="1:26">
      <c r="A34" s="4"/>
      <c r="B34" s="4"/>
      <c r="C34" s="4"/>
      <c r="D34" s="4"/>
      <c r="E34" s="4"/>
      <c r="F34" s="4"/>
      <c r="G34" s="4"/>
      <c r="H34" s="6"/>
      <c r="I34" s="6"/>
      <c r="J34" s="4"/>
      <c r="K34" s="4"/>
      <c r="L34" s="4"/>
      <c r="M34" s="4"/>
      <c r="N34" s="8"/>
      <c r="O34" s="8"/>
      <c r="P34" s="7" t="str">
        <f t="shared" si="0"/>
        <v/>
      </c>
      <c r="Q34" s="9"/>
      <c r="R34" s="4" t="str">
        <f t="shared" si="1"/>
        <v>Sin dato</v>
      </c>
      <c r="S34" s="1"/>
      <c r="T34" s="1"/>
      <c r="U34" s="1"/>
      <c r="V34" s="1"/>
      <c r="W34" s="1"/>
      <c r="X34" s="1"/>
      <c r="Y34" s="1"/>
      <c r="Z34" s="1"/>
    </row>
    <row r="35" spans="1:26">
      <c r="A35" s="4"/>
      <c r="B35" s="4"/>
      <c r="C35" s="4"/>
      <c r="D35" s="4"/>
      <c r="E35" s="4"/>
      <c r="F35" s="4"/>
      <c r="G35" s="4"/>
      <c r="H35" s="6"/>
      <c r="I35" s="6"/>
      <c r="J35" s="4"/>
      <c r="K35" s="4"/>
      <c r="L35" s="4"/>
      <c r="M35" s="4"/>
      <c r="N35" s="8"/>
      <c r="O35" s="8"/>
      <c r="P35" s="7" t="str">
        <f t="shared" si="0"/>
        <v/>
      </c>
      <c r="Q35" s="9"/>
      <c r="R35" s="4" t="str">
        <f t="shared" si="1"/>
        <v>Sin dato</v>
      </c>
      <c r="S35" s="1"/>
      <c r="T35" s="1"/>
      <c r="U35" s="1"/>
      <c r="V35" s="1"/>
      <c r="W35" s="1"/>
      <c r="X35" s="1"/>
      <c r="Y35" s="1"/>
      <c r="Z35" s="1"/>
    </row>
    <row r="36" spans="1:26">
      <c r="A36" s="4"/>
      <c r="B36" s="4"/>
      <c r="C36" s="4"/>
      <c r="D36" s="4"/>
      <c r="E36" s="4"/>
      <c r="F36" s="4"/>
      <c r="G36" s="4"/>
      <c r="H36" s="6"/>
      <c r="I36" s="6"/>
      <c r="J36" s="4"/>
      <c r="K36" s="4"/>
      <c r="L36" s="4"/>
      <c r="M36" s="4"/>
      <c r="N36" s="8"/>
      <c r="O36" s="8"/>
      <c r="P36" s="7" t="str">
        <f t="shared" si="0"/>
        <v/>
      </c>
      <c r="Q36" s="9"/>
      <c r="R36" s="4" t="str">
        <f t="shared" si="1"/>
        <v>Sin dato</v>
      </c>
      <c r="S36" s="1"/>
      <c r="T36" s="1"/>
      <c r="U36" s="1"/>
      <c r="V36" s="1"/>
      <c r="W36" s="1"/>
      <c r="X36" s="1"/>
      <c r="Y36" s="1"/>
      <c r="Z36" s="1"/>
    </row>
    <row r="37" spans="1:26">
      <c r="A37" s="4"/>
      <c r="B37" s="4"/>
      <c r="C37" s="4"/>
      <c r="D37" s="4"/>
      <c r="E37" s="4"/>
      <c r="F37" s="4"/>
      <c r="G37" s="4"/>
      <c r="H37" s="6"/>
      <c r="I37" s="6"/>
      <c r="J37" s="4"/>
      <c r="K37" s="4"/>
      <c r="L37" s="4"/>
      <c r="M37" s="4"/>
      <c r="N37" s="8"/>
      <c r="O37" s="8"/>
      <c r="P37" s="7" t="str">
        <f t="shared" si="0"/>
        <v/>
      </c>
      <c r="Q37" s="9"/>
      <c r="R37" s="4" t="str">
        <f t="shared" si="1"/>
        <v>Sin dato</v>
      </c>
      <c r="S37" s="1"/>
      <c r="T37" s="1"/>
      <c r="U37" s="1"/>
      <c r="V37" s="1"/>
      <c r="W37" s="1"/>
      <c r="X37" s="1"/>
      <c r="Y37" s="1"/>
      <c r="Z37" s="1"/>
    </row>
    <row r="38" spans="1:26">
      <c r="A38" s="4"/>
      <c r="B38" s="4"/>
      <c r="C38" s="4"/>
      <c r="D38" s="4"/>
      <c r="E38" s="4"/>
      <c r="F38" s="4"/>
      <c r="G38" s="4"/>
      <c r="H38" s="6"/>
      <c r="I38" s="6"/>
      <c r="J38" s="4"/>
      <c r="K38" s="4"/>
      <c r="L38" s="4"/>
      <c r="M38" s="4"/>
      <c r="N38" s="8"/>
      <c r="O38" s="8"/>
      <c r="P38" s="7" t="str">
        <f t="shared" si="0"/>
        <v/>
      </c>
      <c r="Q38" s="9"/>
      <c r="R38" s="4" t="str">
        <f t="shared" si="1"/>
        <v>Sin dato</v>
      </c>
      <c r="S38" s="1"/>
      <c r="T38" s="1"/>
      <c r="U38" s="1"/>
      <c r="V38" s="1"/>
      <c r="W38" s="1"/>
      <c r="X38" s="1"/>
      <c r="Y38" s="1"/>
      <c r="Z38" s="1"/>
    </row>
    <row r="39" spans="1:26">
      <c r="A39" s="4"/>
      <c r="B39" s="4"/>
      <c r="C39" s="4"/>
      <c r="D39" s="4"/>
      <c r="E39" s="4"/>
      <c r="F39" s="4"/>
      <c r="G39" s="4"/>
      <c r="H39" s="6"/>
      <c r="I39" s="6"/>
      <c r="J39" s="4"/>
      <c r="K39" s="4"/>
      <c r="L39" s="4"/>
      <c r="M39" s="4"/>
      <c r="N39" s="8"/>
      <c r="O39" s="8"/>
      <c r="P39" s="7" t="str">
        <f t="shared" ref="P39:P70" si="2">IFERROR(N39/O39,"")</f>
        <v/>
      </c>
      <c r="Q39" s="9"/>
      <c r="R39" s="4" t="str">
        <f t="shared" ref="R39:R70" si="3">IF(P39="","Sin dato",IF(A39="SV-01",IF(P39&lt;=H39,"Verde",IF(P39&lt;=I39,"Amarillo","Rojo")),IF(P39&gt;=H39,"Verde",IF(P39&gt;=I39,"Amarillo","Rojo"))))</f>
        <v>Sin dato</v>
      </c>
      <c r="S39" s="1"/>
      <c r="T39" s="1"/>
      <c r="U39" s="1"/>
      <c r="V39" s="1"/>
      <c r="W39" s="1"/>
      <c r="X39" s="1"/>
      <c r="Y39" s="1"/>
      <c r="Z39" s="1"/>
    </row>
    <row r="40" spans="1:26">
      <c r="A40" s="4"/>
      <c r="B40" s="4"/>
      <c r="C40" s="4"/>
      <c r="D40" s="4"/>
      <c r="E40" s="4"/>
      <c r="F40" s="4"/>
      <c r="G40" s="4"/>
      <c r="H40" s="6"/>
      <c r="I40" s="6"/>
      <c r="J40" s="4"/>
      <c r="K40" s="4"/>
      <c r="L40" s="4"/>
      <c r="M40" s="4"/>
      <c r="N40" s="8"/>
      <c r="O40" s="8"/>
      <c r="P40" s="7" t="str">
        <f t="shared" si="2"/>
        <v/>
      </c>
      <c r="Q40" s="9"/>
      <c r="R40" s="4" t="str">
        <f t="shared" si="3"/>
        <v>Sin dato</v>
      </c>
      <c r="S40" s="1"/>
      <c r="T40" s="1"/>
      <c r="U40" s="1"/>
      <c r="V40" s="1"/>
      <c r="W40" s="1"/>
      <c r="X40" s="1"/>
      <c r="Y40" s="1"/>
      <c r="Z40" s="1"/>
    </row>
    <row r="41" spans="1:26">
      <c r="A41" s="4"/>
      <c r="B41" s="4"/>
      <c r="C41" s="4"/>
      <c r="D41" s="4"/>
      <c r="E41" s="4"/>
      <c r="F41" s="4"/>
      <c r="G41" s="4"/>
      <c r="H41" s="6"/>
      <c r="I41" s="6"/>
      <c r="J41" s="4"/>
      <c r="K41" s="4"/>
      <c r="L41" s="4"/>
      <c r="M41" s="4"/>
      <c r="N41" s="8"/>
      <c r="O41" s="8"/>
      <c r="P41" s="7" t="str">
        <f t="shared" si="2"/>
        <v/>
      </c>
      <c r="Q41" s="9"/>
      <c r="R41" s="4" t="str">
        <f t="shared" si="3"/>
        <v>Sin dato</v>
      </c>
      <c r="S41" s="1"/>
      <c r="T41" s="1"/>
      <c r="U41" s="1"/>
      <c r="V41" s="1"/>
      <c r="W41" s="1"/>
      <c r="X41" s="1"/>
      <c r="Y41" s="1"/>
      <c r="Z41" s="1"/>
    </row>
    <row r="42" spans="1:26">
      <c r="A42" s="4"/>
      <c r="B42" s="4"/>
      <c r="C42" s="4"/>
      <c r="D42" s="4"/>
      <c r="E42" s="4"/>
      <c r="F42" s="4"/>
      <c r="G42" s="4"/>
      <c r="H42" s="6"/>
      <c r="I42" s="6"/>
      <c r="J42" s="4"/>
      <c r="K42" s="4"/>
      <c r="L42" s="4"/>
      <c r="M42" s="4"/>
      <c r="N42" s="8"/>
      <c r="O42" s="8"/>
      <c r="P42" s="7" t="str">
        <f t="shared" si="2"/>
        <v/>
      </c>
      <c r="Q42" s="9"/>
      <c r="R42" s="4" t="str">
        <f t="shared" si="3"/>
        <v>Sin dato</v>
      </c>
      <c r="S42" s="1"/>
      <c r="T42" s="1"/>
      <c r="U42" s="1"/>
      <c r="V42" s="1"/>
      <c r="W42" s="1"/>
      <c r="X42" s="1"/>
      <c r="Y42" s="1"/>
      <c r="Z42" s="1"/>
    </row>
    <row r="43" spans="1:26">
      <c r="A43" s="4"/>
      <c r="B43" s="4"/>
      <c r="C43" s="4"/>
      <c r="D43" s="4"/>
      <c r="E43" s="4"/>
      <c r="F43" s="4"/>
      <c r="G43" s="4"/>
      <c r="H43" s="6"/>
      <c r="I43" s="6"/>
      <c r="J43" s="4"/>
      <c r="K43" s="4"/>
      <c r="L43" s="4"/>
      <c r="M43" s="4"/>
      <c r="N43" s="8"/>
      <c r="O43" s="8"/>
      <c r="P43" s="7" t="str">
        <f t="shared" si="2"/>
        <v/>
      </c>
      <c r="Q43" s="9"/>
      <c r="R43" s="4" t="str">
        <f t="shared" si="3"/>
        <v>Sin dato</v>
      </c>
      <c r="S43" s="1"/>
      <c r="T43" s="1"/>
      <c r="U43" s="1"/>
      <c r="V43" s="1"/>
      <c r="W43" s="1"/>
      <c r="X43" s="1"/>
      <c r="Y43" s="1"/>
      <c r="Z43" s="1"/>
    </row>
    <row r="44" spans="1:26">
      <c r="A44" s="4"/>
      <c r="B44" s="4"/>
      <c r="C44" s="4"/>
      <c r="D44" s="4"/>
      <c r="E44" s="4"/>
      <c r="F44" s="4"/>
      <c r="G44" s="4"/>
      <c r="H44" s="6"/>
      <c r="I44" s="6"/>
      <c r="J44" s="4"/>
      <c r="K44" s="4"/>
      <c r="L44" s="4"/>
      <c r="M44" s="4"/>
      <c r="N44" s="8"/>
      <c r="O44" s="8"/>
      <c r="P44" s="7" t="str">
        <f t="shared" si="2"/>
        <v/>
      </c>
      <c r="Q44" s="9"/>
      <c r="R44" s="4" t="str">
        <f t="shared" si="3"/>
        <v>Sin dato</v>
      </c>
      <c r="S44" s="1"/>
      <c r="T44" s="1"/>
      <c r="U44" s="1"/>
      <c r="V44" s="1"/>
      <c r="W44" s="1"/>
      <c r="X44" s="1"/>
      <c r="Y44" s="1"/>
      <c r="Z44" s="1"/>
    </row>
    <row r="45" spans="1:26">
      <c r="A45" s="4"/>
      <c r="B45" s="4"/>
      <c r="C45" s="4"/>
      <c r="D45" s="4"/>
      <c r="E45" s="4"/>
      <c r="F45" s="4"/>
      <c r="G45" s="4"/>
      <c r="H45" s="6"/>
      <c r="I45" s="6"/>
      <c r="J45" s="4"/>
      <c r="K45" s="4"/>
      <c r="L45" s="4"/>
      <c r="M45" s="4"/>
      <c r="N45" s="8"/>
      <c r="O45" s="8"/>
      <c r="P45" s="7" t="str">
        <f t="shared" si="2"/>
        <v/>
      </c>
      <c r="Q45" s="9"/>
      <c r="R45" s="4" t="str">
        <f t="shared" si="3"/>
        <v>Sin dato</v>
      </c>
      <c r="S45" s="1"/>
      <c r="T45" s="1"/>
      <c r="U45" s="1"/>
      <c r="V45" s="1"/>
      <c r="W45" s="1"/>
      <c r="X45" s="1"/>
      <c r="Y45" s="1"/>
      <c r="Z45" s="1"/>
    </row>
    <row r="46" spans="1:26">
      <c r="A46" s="4"/>
      <c r="B46" s="4"/>
      <c r="C46" s="4"/>
      <c r="D46" s="4"/>
      <c r="E46" s="4"/>
      <c r="F46" s="4"/>
      <c r="G46" s="4"/>
      <c r="H46" s="6"/>
      <c r="I46" s="6"/>
      <c r="J46" s="4"/>
      <c r="K46" s="4"/>
      <c r="L46" s="4"/>
      <c r="M46" s="4"/>
      <c r="N46" s="8"/>
      <c r="O46" s="8"/>
      <c r="P46" s="7" t="str">
        <f t="shared" si="2"/>
        <v/>
      </c>
      <c r="Q46" s="9"/>
      <c r="R46" s="4" t="str">
        <f t="shared" si="3"/>
        <v>Sin dato</v>
      </c>
      <c r="S46" s="1"/>
      <c r="T46" s="1"/>
      <c r="U46" s="1"/>
      <c r="V46" s="1"/>
      <c r="W46" s="1"/>
      <c r="X46" s="1"/>
      <c r="Y46" s="1"/>
      <c r="Z46" s="1"/>
    </row>
    <row r="47" spans="1:26">
      <c r="A47" s="4"/>
      <c r="B47" s="4"/>
      <c r="C47" s="4"/>
      <c r="D47" s="4"/>
      <c r="E47" s="4"/>
      <c r="F47" s="4"/>
      <c r="G47" s="4"/>
      <c r="H47" s="6"/>
      <c r="I47" s="6"/>
      <c r="J47" s="4"/>
      <c r="K47" s="4"/>
      <c r="L47" s="4"/>
      <c r="M47" s="4"/>
      <c r="N47" s="8"/>
      <c r="O47" s="8"/>
      <c r="P47" s="7" t="str">
        <f t="shared" si="2"/>
        <v/>
      </c>
      <c r="Q47" s="9"/>
      <c r="R47" s="4" t="str">
        <f t="shared" si="3"/>
        <v>Sin dato</v>
      </c>
      <c r="S47" s="1"/>
      <c r="T47" s="1"/>
      <c r="U47" s="1"/>
      <c r="V47" s="1"/>
      <c r="W47" s="1"/>
      <c r="X47" s="1"/>
      <c r="Y47" s="1"/>
      <c r="Z47" s="1"/>
    </row>
    <row r="48" spans="1:26">
      <c r="A48" s="4"/>
      <c r="B48" s="4"/>
      <c r="C48" s="4"/>
      <c r="D48" s="4"/>
      <c r="E48" s="4"/>
      <c r="F48" s="4"/>
      <c r="G48" s="4"/>
      <c r="H48" s="6"/>
      <c r="I48" s="6"/>
      <c r="J48" s="4"/>
      <c r="K48" s="4"/>
      <c r="L48" s="4"/>
      <c r="M48" s="4"/>
      <c r="N48" s="8"/>
      <c r="O48" s="8"/>
      <c r="P48" s="7" t="str">
        <f t="shared" si="2"/>
        <v/>
      </c>
      <c r="Q48" s="9"/>
      <c r="R48" s="4" t="str">
        <f t="shared" si="3"/>
        <v>Sin dato</v>
      </c>
      <c r="S48" s="1"/>
      <c r="T48" s="1"/>
      <c r="U48" s="1"/>
      <c r="V48" s="1"/>
      <c r="W48" s="1"/>
      <c r="X48" s="1"/>
      <c r="Y48" s="1"/>
      <c r="Z48" s="1"/>
    </row>
    <row r="49" spans="1:26">
      <c r="A49" s="4"/>
      <c r="B49" s="4"/>
      <c r="C49" s="4"/>
      <c r="D49" s="4"/>
      <c r="E49" s="4"/>
      <c r="F49" s="4"/>
      <c r="G49" s="4"/>
      <c r="H49" s="6"/>
      <c r="I49" s="6"/>
      <c r="J49" s="4"/>
      <c r="K49" s="4"/>
      <c r="L49" s="4"/>
      <c r="M49" s="4"/>
      <c r="N49" s="8"/>
      <c r="O49" s="8"/>
      <c r="P49" s="7" t="str">
        <f t="shared" si="2"/>
        <v/>
      </c>
      <c r="Q49" s="9"/>
      <c r="R49" s="4" t="str">
        <f t="shared" si="3"/>
        <v>Sin dato</v>
      </c>
      <c r="S49" s="1"/>
      <c r="T49" s="1"/>
      <c r="U49" s="1"/>
      <c r="V49" s="1"/>
      <c r="W49" s="1"/>
      <c r="X49" s="1"/>
      <c r="Y49" s="1"/>
      <c r="Z49" s="1"/>
    </row>
    <row r="50" spans="1:26">
      <c r="A50" s="4"/>
      <c r="B50" s="4"/>
      <c r="C50" s="4"/>
      <c r="D50" s="4"/>
      <c r="E50" s="4"/>
      <c r="F50" s="4"/>
      <c r="G50" s="4"/>
      <c r="H50" s="6"/>
      <c r="I50" s="6"/>
      <c r="J50" s="4"/>
      <c r="K50" s="4"/>
      <c r="L50" s="4"/>
      <c r="M50" s="4"/>
      <c r="N50" s="8"/>
      <c r="O50" s="8"/>
      <c r="P50" s="7" t="str">
        <f t="shared" si="2"/>
        <v/>
      </c>
      <c r="Q50" s="9"/>
      <c r="R50" s="4" t="str">
        <f t="shared" si="3"/>
        <v>Sin dato</v>
      </c>
      <c r="S50" s="1"/>
      <c r="T50" s="1"/>
      <c r="U50" s="1"/>
      <c r="V50" s="1"/>
      <c r="W50" s="1"/>
      <c r="X50" s="1"/>
      <c r="Y50" s="1"/>
      <c r="Z50" s="1"/>
    </row>
    <row r="51" spans="1:26">
      <c r="A51" s="4"/>
      <c r="B51" s="4"/>
      <c r="C51" s="4"/>
      <c r="D51" s="4"/>
      <c r="E51" s="4"/>
      <c r="F51" s="4"/>
      <c r="G51" s="4"/>
      <c r="H51" s="6"/>
      <c r="I51" s="6"/>
      <c r="J51" s="4"/>
      <c r="K51" s="4"/>
      <c r="L51" s="4"/>
      <c r="M51" s="4"/>
      <c r="N51" s="8"/>
      <c r="O51" s="8"/>
      <c r="P51" s="7" t="str">
        <f t="shared" si="2"/>
        <v/>
      </c>
      <c r="Q51" s="9"/>
      <c r="R51" s="4" t="str">
        <f t="shared" si="3"/>
        <v>Sin dato</v>
      </c>
      <c r="S51" s="1"/>
      <c r="T51" s="1"/>
      <c r="U51" s="1"/>
      <c r="V51" s="1"/>
      <c r="W51" s="1"/>
      <c r="X51" s="1"/>
      <c r="Y51" s="1"/>
      <c r="Z51" s="1"/>
    </row>
    <row r="52" spans="1:26">
      <c r="A52" s="4"/>
      <c r="B52" s="4"/>
      <c r="C52" s="4"/>
      <c r="D52" s="4"/>
      <c r="E52" s="4"/>
      <c r="F52" s="4"/>
      <c r="G52" s="4"/>
      <c r="H52" s="6"/>
      <c r="I52" s="6"/>
      <c r="J52" s="4"/>
      <c r="K52" s="4"/>
      <c r="L52" s="4"/>
      <c r="M52" s="4"/>
      <c r="N52" s="8"/>
      <c r="O52" s="8"/>
      <c r="P52" s="7" t="str">
        <f t="shared" si="2"/>
        <v/>
      </c>
      <c r="Q52" s="9"/>
      <c r="R52" s="4" t="str">
        <f t="shared" si="3"/>
        <v>Sin dato</v>
      </c>
      <c r="S52" s="1"/>
      <c r="T52" s="1"/>
      <c r="U52" s="1"/>
      <c r="V52" s="1"/>
      <c r="W52" s="1"/>
      <c r="X52" s="1"/>
      <c r="Y52" s="1"/>
      <c r="Z52" s="1"/>
    </row>
    <row r="53" spans="1:26">
      <c r="A53" s="4"/>
      <c r="B53" s="4"/>
      <c r="C53" s="4"/>
      <c r="D53" s="4"/>
      <c r="E53" s="4"/>
      <c r="F53" s="4"/>
      <c r="G53" s="4"/>
      <c r="H53" s="6"/>
      <c r="I53" s="6"/>
      <c r="J53" s="4"/>
      <c r="K53" s="4"/>
      <c r="L53" s="4"/>
      <c r="M53" s="4"/>
      <c r="N53" s="8"/>
      <c r="O53" s="8"/>
      <c r="P53" s="7" t="str">
        <f t="shared" si="2"/>
        <v/>
      </c>
      <c r="Q53" s="9"/>
      <c r="R53" s="4" t="str">
        <f t="shared" si="3"/>
        <v>Sin dato</v>
      </c>
      <c r="S53" s="1"/>
      <c r="T53" s="1"/>
      <c r="U53" s="1"/>
      <c r="V53" s="1"/>
      <c r="W53" s="1"/>
      <c r="X53" s="1"/>
      <c r="Y53" s="1"/>
      <c r="Z53" s="1"/>
    </row>
    <row r="54" spans="1:26">
      <c r="A54" s="4"/>
      <c r="B54" s="4"/>
      <c r="C54" s="4"/>
      <c r="D54" s="4"/>
      <c r="E54" s="4"/>
      <c r="F54" s="4"/>
      <c r="G54" s="4"/>
      <c r="H54" s="6"/>
      <c r="I54" s="6"/>
      <c r="J54" s="4"/>
      <c r="K54" s="4"/>
      <c r="L54" s="4"/>
      <c r="M54" s="4"/>
      <c r="N54" s="8"/>
      <c r="O54" s="8"/>
      <c r="P54" s="7" t="str">
        <f t="shared" si="2"/>
        <v/>
      </c>
      <c r="Q54" s="9"/>
      <c r="R54" s="4" t="str">
        <f t="shared" si="3"/>
        <v>Sin dato</v>
      </c>
      <c r="S54" s="1"/>
      <c r="T54" s="1"/>
      <c r="U54" s="1"/>
      <c r="V54" s="1"/>
      <c r="W54" s="1"/>
      <c r="X54" s="1"/>
      <c r="Y54" s="1"/>
      <c r="Z54" s="1"/>
    </row>
    <row r="55" spans="1:26">
      <c r="A55" s="4"/>
      <c r="B55" s="4"/>
      <c r="C55" s="4"/>
      <c r="D55" s="4"/>
      <c r="E55" s="4"/>
      <c r="F55" s="4"/>
      <c r="G55" s="4"/>
      <c r="H55" s="6"/>
      <c r="I55" s="6"/>
      <c r="J55" s="4"/>
      <c r="K55" s="4"/>
      <c r="L55" s="4"/>
      <c r="M55" s="4"/>
      <c r="N55" s="8"/>
      <c r="O55" s="8"/>
      <c r="P55" s="7" t="str">
        <f t="shared" si="2"/>
        <v/>
      </c>
      <c r="Q55" s="9"/>
      <c r="R55" s="4" t="str">
        <f t="shared" si="3"/>
        <v>Sin dato</v>
      </c>
      <c r="S55" s="1"/>
      <c r="T55" s="1"/>
      <c r="U55" s="1"/>
      <c r="V55" s="1"/>
      <c r="W55" s="1"/>
      <c r="X55" s="1"/>
      <c r="Y55" s="1"/>
      <c r="Z55" s="1"/>
    </row>
    <row r="56" spans="1:26">
      <c r="A56" s="4"/>
      <c r="B56" s="4"/>
      <c r="C56" s="4"/>
      <c r="D56" s="4"/>
      <c r="E56" s="4"/>
      <c r="F56" s="4"/>
      <c r="G56" s="4"/>
      <c r="H56" s="6"/>
      <c r="I56" s="6"/>
      <c r="J56" s="4"/>
      <c r="K56" s="4"/>
      <c r="L56" s="4"/>
      <c r="M56" s="4"/>
      <c r="N56" s="8"/>
      <c r="O56" s="8"/>
      <c r="P56" s="7" t="str">
        <f t="shared" si="2"/>
        <v/>
      </c>
      <c r="Q56" s="9"/>
      <c r="R56" s="4" t="str">
        <f t="shared" si="3"/>
        <v>Sin dato</v>
      </c>
      <c r="S56" s="1"/>
      <c r="T56" s="1"/>
      <c r="U56" s="1"/>
      <c r="V56" s="1"/>
      <c r="W56" s="1"/>
      <c r="X56" s="1"/>
      <c r="Y56" s="1"/>
      <c r="Z56" s="1"/>
    </row>
    <row r="57" spans="1:26">
      <c r="A57" s="4"/>
      <c r="B57" s="4"/>
      <c r="C57" s="4"/>
      <c r="D57" s="4"/>
      <c r="E57" s="4"/>
      <c r="F57" s="4"/>
      <c r="G57" s="4"/>
      <c r="H57" s="6"/>
      <c r="I57" s="6"/>
      <c r="J57" s="4"/>
      <c r="K57" s="4"/>
      <c r="L57" s="4"/>
      <c r="M57" s="4"/>
      <c r="N57" s="8"/>
      <c r="O57" s="8"/>
      <c r="P57" s="7" t="str">
        <f t="shared" si="2"/>
        <v/>
      </c>
      <c r="Q57" s="9"/>
      <c r="R57" s="4" t="str">
        <f t="shared" si="3"/>
        <v>Sin dato</v>
      </c>
      <c r="S57" s="1"/>
      <c r="T57" s="1"/>
      <c r="U57" s="1"/>
      <c r="V57" s="1"/>
      <c r="W57" s="1"/>
      <c r="X57" s="1"/>
      <c r="Y57" s="1"/>
      <c r="Z57" s="1"/>
    </row>
    <row r="58" spans="1:26">
      <c r="A58" s="4"/>
      <c r="B58" s="4"/>
      <c r="C58" s="4"/>
      <c r="D58" s="4"/>
      <c r="E58" s="4"/>
      <c r="F58" s="4"/>
      <c r="G58" s="4"/>
      <c r="H58" s="6"/>
      <c r="I58" s="6"/>
      <c r="J58" s="4"/>
      <c r="K58" s="4"/>
      <c r="L58" s="4"/>
      <c r="M58" s="4"/>
      <c r="N58" s="8"/>
      <c r="O58" s="8"/>
      <c r="P58" s="7" t="str">
        <f t="shared" si="2"/>
        <v/>
      </c>
      <c r="Q58" s="9"/>
      <c r="R58" s="4" t="str">
        <f t="shared" si="3"/>
        <v>Sin dato</v>
      </c>
      <c r="S58" s="1"/>
      <c r="T58" s="1"/>
      <c r="U58" s="1"/>
      <c r="V58" s="1"/>
      <c r="W58" s="1"/>
      <c r="X58" s="1"/>
      <c r="Y58" s="1"/>
      <c r="Z58" s="1"/>
    </row>
    <row r="59" spans="1:26">
      <c r="A59" s="4"/>
      <c r="B59" s="4"/>
      <c r="C59" s="4"/>
      <c r="D59" s="4"/>
      <c r="E59" s="4"/>
      <c r="F59" s="4"/>
      <c r="G59" s="4"/>
      <c r="H59" s="6"/>
      <c r="I59" s="6"/>
      <c r="J59" s="4"/>
      <c r="K59" s="4"/>
      <c r="L59" s="4"/>
      <c r="M59" s="4"/>
      <c r="N59" s="8"/>
      <c r="O59" s="8"/>
      <c r="P59" s="7" t="str">
        <f t="shared" si="2"/>
        <v/>
      </c>
      <c r="Q59" s="9"/>
      <c r="R59" s="4" t="str">
        <f t="shared" si="3"/>
        <v>Sin dato</v>
      </c>
      <c r="S59" s="1"/>
      <c r="T59" s="1"/>
      <c r="U59" s="1"/>
      <c r="V59" s="1"/>
      <c r="W59" s="1"/>
      <c r="X59" s="1"/>
      <c r="Y59" s="1"/>
      <c r="Z59" s="1"/>
    </row>
    <row r="60" spans="1:26">
      <c r="A60" s="4"/>
      <c r="B60" s="4"/>
      <c r="C60" s="4"/>
      <c r="D60" s="4"/>
      <c r="E60" s="4"/>
      <c r="F60" s="4"/>
      <c r="G60" s="4"/>
      <c r="H60" s="6"/>
      <c r="I60" s="6"/>
      <c r="J60" s="4"/>
      <c r="K60" s="4"/>
      <c r="L60" s="4"/>
      <c r="M60" s="4"/>
      <c r="N60" s="8"/>
      <c r="O60" s="8"/>
      <c r="P60" s="7" t="str">
        <f t="shared" si="2"/>
        <v/>
      </c>
      <c r="Q60" s="9"/>
      <c r="R60" s="4" t="str">
        <f t="shared" si="3"/>
        <v>Sin dato</v>
      </c>
      <c r="S60" s="1"/>
      <c r="T60" s="1"/>
      <c r="U60" s="1"/>
      <c r="V60" s="1"/>
      <c r="W60" s="1"/>
      <c r="X60" s="1"/>
      <c r="Y60" s="1"/>
      <c r="Z60" s="1"/>
    </row>
    <row r="61" spans="1:26">
      <c r="A61" s="4"/>
      <c r="B61" s="4"/>
      <c r="C61" s="4"/>
      <c r="D61" s="4"/>
      <c r="E61" s="4"/>
      <c r="F61" s="4"/>
      <c r="G61" s="4"/>
      <c r="H61" s="6"/>
      <c r="I61" s="6"/>
      <c r="J61" s="4"/>
      <c r="K61" s="4"/>
      <c r="L61" s="4"/>
      <c r="M61" s="4"/>
      <c r="N61" s="8"/>
      <c r="O61" s="8"/>
      <c r="P61" s="7" t="str">
        <f t="shared" si="2"/>
        <v/>
      </c>
      <c r="Q61" s="9"/>
      <c r="R61" s="4" t="str">
        <f t="shared" si="3"/>
        <v>Sin dato</v>
      </c>
      <c r="S61" s="1"/>
      <c r="T61" s="1"/>
      <c r="U61" s="1"/>
      <c r="V61" s="1"/>
      <c r="W61" s="1"/>
      <c r="X61" s="1"/>
      <c r="Y61" s="1"/>
      <c r="Z61" s="1"/>
    </row>
    <row r="62" spans="1:26">
      <c r="A62" s="4"/>
      <c r="B62" s="4"/>
      <c r="C62" s="4"/>
      <c r="D62" s="4"/>
      <c r="E62" s="4"/>
      <c r="F62" s="4"/>
      <c r="G62" s="4"/>
      <c r="H62" s="6"/>
      <c r="I62" s="6"/>
      <c r="J62" s="4"/>
      <c r="K62" s="4"/>
      <c r="L62" s="4"/>
      <c r="M62" s="4"/>
      <c r="N62" s="8"/>
      <c r="O62" s="8"/>
      <c r="P62" s="7" t="str">
        <f t="shared" si="2"/>
        <v/>
      </c>
      <c r="Q62" s="9"/>
      <c r="R62" s="4" t="str">
        <f t="shared" si="3"/>
        <v>Sin dato</v>
      </c>
      <c r="S62" s="1"/>
      <c r="T62" s="1"/>
      <c r="U62" s="1"/>
      <c r="V62" s="1"/>
      <c r="W62" s="1"/>
      <c r="X62" s="1"/>
      <c r="Y62" s="1"/>
      <c r="Z62" s="1"/>
    </row>
    <row r="63" spans="1:26">
      <c r="A63" s="4"/>
      <c r="B63" s="4"/>
      <c r="C63" s="4"/>
      <c r="D63" s="4"/>
      <c r="E63" s="4"/>
      <c r="F63" s="4"/>
      <c r="G63" s="4"/>
      <c r="H63" s="6"/>
      <c r="I63" s="6"/>
      <c r="J63" s="4"/>
      <c r="K63" s="4"/>
      <c r="L63" s="4"/>
      <c r="M63" s="4"/>
      <c r="N63" s="8"/>
      <c r="O63" s="8"/>
      <c r="P63" s="7" t="str">
        <f t="shared" si="2"/>
        <v/>
      </c>
      <c r="Q63" s="9"/>
      <c r="R63" s="4" t="str">
        <f t="shared" si="3"/>
        <v>Sin dato</v>
      </c>
      <c r="S63" s="1"/>
      <c r="T63" s="1"/>
      <c r="U63" s="1"/>
      <c r="V63" s="1"/>
      <c r="W63" s="1"/>
      <c r="X63" s="1"/>
      <c r="Y63" s="1"/>
      <c r="Z63" s="1"/>
    </row>
    <row r="64" spans="1:26">
      <c r="A64" s="4"/>
      <c r="B64" s="4"/>
      <c r="C64" s="4"/>
      <c r="D64" s="4"/>
      <c r="E64" s="4"/>
      <c r="F64" s="4"/>
      <c r="G64" s="4"/>
      <c r="H64" s="6"/>
      <c r="I64" s="6"/>
      <c r="J64" s="4"/>
      <c r="K64" s="4"/>
      <c r="L64" s="4"/>
      <c r="M64" s="4"/>
      <c r="N64" s="8"/>
      <c r="O64" s="8"/>
      <c r="P64" s="7" t="str">
        <f t="shared" si="2"/>
        <v/>
      </c>
      <c r="Q64" s="9"/>
      <c r="R64" s="4" t="str">
        <f t="shared" si="3"/>
        <v>Sin dato</v>
      </c>
      <c r="S64" s="1"/>
      <c r="T64" s="1"/>
      <c r="U64" s="1"/>
      <c r="V64" s="1"/>
      <c r="W64" s="1"/>
      <c r="X64" s="1"/>
      <c r="Y64" s="1"/>
      <c r="Z64" s="1"/>
    </row>
    <row r="65" spans="1:26">
      <c r="A65" s="4"/>
      <c r="B65" s="4"/>
      <c r="C65" s="4"/>
      <c r="D65" s="4"/>
      <c r="E65" s="4"/>
      <c r="F65" s="4"/>
      <c r="G65" s="4"/>
      <c r="H65" s="6"/>
      <c r="I65" s="6"/>
      <c r="J65" s="4"/>
      <c r="K65" s="4"/>
      <c r="L65" s="4"/>
      <c r="M65" s="4"/>
      <c r="N65" s="8"/>
      <c r="O65" s="8"/>
      <c r="P65" s="7" t="str">
        <f t="shared" si="2"/>
        <v/>
      </c>
      <c r="Q65" s="9"/>
      <c r="R65" s="4" t="str">
        <f t="shared" si="3"/>
        <v>Sin dato</v>
      </c>
      <c r="S65" s="1"/>
      <c r="T65" s="1"/>
      <c r="U65" s="1"/>
      <c r="V65" s="1"/>
      <c r="W65" s="1"/>
      <c r="X65" s="1"/>
      <c r="Y65" s="1"/>
      <c r="Z65" s="1"/>
    </row>
    <row r="66" spans="1:26">
      <c r="A66" s="4"/>
      <c r="B66" s="4"/>
      <c r="C66" s="4"/>
      <c r="D66" s="4"/>
      <c r="E66" s="4"/>
      <c r="F66" s="4"/>
      <c r="G66" s="4"/>
      <c r="H66" s="6"/>
      <c r="I66" s="6"/>
      <c r="J66" s="4"/>
      <c r="K66" s="4"/>
      <c r="L66" s="4"/>
      <c r="M66" s="4"/>
      <c r="N66" s="8"/>
      <c r="O66" s="8"/>
      <c r="P66" s="7" t="str">
        <f t="shared" si="2"/>
        <v/>
      </c>
      <c r="Q66" s="9"/>
      <c r="R66" s="4" t="str">
        <f t="shared" si="3"/>
        <v>Sin dato</v>
      </c>
      <c r="S66" s="1"/>
      <c r="T66" s="1"/>
      <c r="U66" s="1"/>
      <c r="V66" s="1"/>
      <c r="W66" s="1"/>
      <c r="X66" s="1"/>
      <c r="Y66" s="1"/>
      <c r="Z66" s="1"/>
    </row>
    <row r="67" spans="1:26">
      <c r="A67" s="4"/>
      <c r="B67" s="4"/>
      <c r="C67" s="4"/>
      <c r="D67" s="4"/>
      <c r="E67" s="4"/>
      <c r="F67" s="4"/>
      <c r="G67" s="4"/>
      <c r="H67" s="6"/>
      <c r="I67" s="6"/>
      <c r="J67" s="4"/>
      <c r="K67" s="4"/>
      <c r="L67" s="4"/>
      <c r="M67" s="4"/>
      <c r="N67" s="8"/>
      <c r="O67" s="8"/>
      <c r="P67" s="7" t="str">
        <f t="shared" si="2"/>
        <v/>
      </c>
      <c r="Q67" s="9"/>
      <c r="R67" s="4" t="str">
        <f t="shared" si="3"/>
        <v>Sin dato</v>
      </c>
      <c r="S67" s="1"/>
      <c r="T67" s="1"/>
      <c r="U67" s="1"/>
      <c r="V67" s="1"/>
      <c r="W67" s="1"/>
      <c r="X67" s="1"/>
      <c r="Y67" s="1"/>
      <c r="Z67" s="1"/>
    </row>
    <row r="68" spans="1:26">
      <c r="A68" s="4"/>
      <c r="B68" s="4"/>
      <c r="C68" s="4"/>
      <c r="D68" s="4"/>
      <c r="E68" s="4"/>
      <c r="F68" s="4"/>
      <c r="G68" s="4"/>
      <c r="H68" s="6"/>
      <c r="I68" s="6"/>
      <c r="J68" s="4"/>
      <c r="K68" s="4"/>
      <c r="L68" s="4"/>
      <c r="M68" s="4"/>
      <c r="N68" s="8"/>
      <c r="O68" s="8"/>
      <c r="P68" s="7" t="str">
        <f t="shared" si="2"/>
        <v/>
      </c>
      <c r="Q68" s="9"/>
      <c r="R68" s="4" t="str">
        <f t="shared" si="3"/>
        <v>Sin dato</v>
      </c>
      <c r="S68" s="1"/>
      <c r="T68" s="1"/>
      <c r="U68" s="1"/>
      <c r="V68" s="1"/>
      <c r="W68" s="1"/>
      <c r="X68" s="1"/>
      <c r="Y68" s="1"/>
      <c r="Z68" s="1"/>
    </row>
    <row r="69" spans="1:26">
      <c r="A69" s="4"/>
      <c r="B69" s="4"/>
      <c r="C69" s="4"/>
      <c r="D69" s="4"/>
      <c r="E69" s="4"/>
      <c r="F69" s="4"/>
      <c r="G69" s="4"/>
      <c r="H69" s="6"/>
      <c r="I69" s="6"/>
      <c r="J69" s="4"/>
      <c r="K69" s="4"/>
      <c r="L69" s="4"/>
      <c r="M69" s="4"/>
      <c r="N69" s="8"/>
      <c r="O69" s="8"/>
      <c r="P69" s="7" t="str">
        <f t="shared" si="2"/>
        <v/>
      </c>
      <c r="Q69" s="9"/>
      <c r="R69" s="4" t="str">
        <f t="shared" si="3"/>
        <v>Sin dato</v>
      </c>
      <c r="S69" s="1"/>
      <c r="T69" s="1"/>
      <c r="U69" s="1"/>
      <c r="V69" s="1"/>
      <c r="W69" s="1"/>
      <c r="X69" s="1"/>
      <c r="Y69" s="1"/>
      <c r="Z69" s="1"/>
    </row>
    <row r="70" spans="1:26">
      <c r="A70" s="4"/>
      <c r="B70" s="4"/>
      <c r="C70" s="4"/>
      <c r="D70" s="4"/>
      <c r="E70" s="4"/>
      <c r="F70" s="4"/>
      <c r="G70" s="4"/>
      <c r="H70" s="6"/>
      <c r="I70" s="6"/>
      <c r="J70" s="4"/>
      <c r="K70" s="4"/>
      <c r="L70" s="4"/>
      <c r="M70" s="4"/>
      <c r="N70" s="8"/>
      <c r="O70" s="8"/>
      <c r="P70" s="7" t="str">
        <f t="shared" si="2"/>
        <v/>
      </c>
      <c r="Q70" s="9"/>
      <c r="R70" s="4" t="str">
        <f t="shared" si="3"/>
        <v>Sin dato</v>
      </c>
      <c r="S70" s="1"/>
      <c r="T70" s="1"/>
      <c r="U70" s="1"/>
      <c r="V70" s="1"/>
      <c r="W70" s="1"/>
      <c r="X70" s="1"/>
      <c r="Y70" s="1"/>
      <c r="Z70" s="1"/>
    </row>
    <row r="71" spans="1:26">
      <c r="A71" s="4"/>
      <c r="B71" s="4"/>
      <c r="C71" s="4"/>
      <c r="D71" s="4"/>
      <c r="E71" s="4"/>
      <c r="F71" s="4"/>
      <c r="G71" s="4"/>
      <c r="H71" s="6"/>
      <c r="I71" s="6"/>
      <c r="J71" s="4"/>
      <c r="K71" s="4"/>
      <c r="L71" s="4"/>
      <c r="M71" s="4"/>
      <c r="N71" s="8"/>
      <c r="O71" s="8"/>
      <c r="P71" s="7" t="str">
        <f t="shared" ref="P71:P102" si="4">IFERROR(N71/O71,"")</f>
        <v/>
      </c>
      <c r="Q71" s="9"/>
      <c r="R71" s="4" t="str">
        <f t="shared" ref="R71:R106" si="5">IF(P71="","Sin dato",IF(A71="SV-01",IF(P71&lt;=H71,"Verde",IF(P71&lt;=I71,"Amarillo","Rojo")),IF(P71&gt;=H71,"Verde",IF(P71&gt;=I71,"Amarillo","Rojo"))))</f>
        <v>Sin dato</v>
      </c>
      <c r="S71" s="1"/>
      <c r="T71" s="1"/>
      <c r="U71" s="1"/>
      <c r="V71" s="1"/>
      <c r="W71" s="1"/>
      <c r="X71" s="1"/>
      <c r="Y71" s="1"/>
      <c r="Z71" s="1"/>
    </row>
    <row r="72" spans="1:26">
      <c r="A72" s="4"/>
      <c r="B72" s="4"/>
      <c r="C72" s="4"/>
      <c r="D72" s="4"/>
      <c r="E72" s="4"/>
      <c r="F72" s="4"/>
      <c r="G72" s="4"/>
      <c r="H72" s="6"/>
      <c r="I72" s="6"/>
      <c r="J72" s="4"/>
      <c r="K72" s="4"/>
      <c r="L72" s="4"/>
      <c r="M72" s="4"/>
      <c r="N72" s="8"/>
      <c r="O72" s="8"/>
      <c r="P72" s="7" t="str">
        <f t="shared" si="4"/>
        <v/>
      </c>
      <c r="Q72" s="9"/>
      <c r="R72" s="4" t="str">
        <f t="shared" si="5"/>
        <v>Sin dato</v>
      </c>
      <c r="S72" s="1"/>
      <c r="T72" s="1"/>
      <c r="U72" s="1"/>
      <c r="V72" s="1"/>
      <c r="W72" s="1"/>
      <c r="X72" s="1"/>
      <c r="Y72" s="1"/>
      <c r="Z72" s="1"/>
    </row>
    <row r="73" spans="1:26">
      <c r="A73" s="4"/>
      <c r="B73" s="4"/>
      <c r="C73" s="4"/>
      <c r="D73" s="4"/>
      <c r="E73" s="4"/>
      <c r="F73" s="4"/>
      <c r="G73" s="4"/>
      <c r="H73" s="6"/>
      <c r="I73" s="6"/>
      <c r="J73" s="4"/>
      <c r="K73" s="4"/>
      <c r="L73" s="4"/>
      <c r="M73" s="4"/>
      <c r="N73" s="8"/>
      <c r="O73" s="8"/>
      <c r="P73" s="7" t="str">
        <f t="shared" si="4"/>
        <v/>
      </c>
      <c r="Q73" s="9"/>
      <c r="R73" s="4" t="str">
        <f t="shared" si="5"/>
        <v>Sin dato</v>
      </c>
      <c r="S73" s="1"/>
      <c r="T73" s="1"/>
      <c r="U73" s="1"/>
      <c r="V73" s="1"/>
      <c r="W73" s="1"/>
      <c r="X73" s="1"/>
      <c r="Y73" s="1"/>
      <c r="Z73" s="1"/>
    </row>
    <row r="74" spans="1:26">
      <c r="A74" s="4"/>
      <c r="B74" s="4"/>
      <c r="C74" s="4"/>
      <c r="D74" s="4"/>
      <c r="E74" s="4"/>
      <c r="F74" s="4"/>
      <c r="G74" s="4"/>
      <c r="H74" s="6"/>
      <c r="I74" s="6"/>
      <c r="J74" s="4"/>
      <c r="K74" s="4"/>
      <c r="L74" s="4"/>
      <c r="M74" s="4"/>
      <c r="N74" s="8"/>
      <c r="O74" s="8"/>
      <c r="P74" s="7" t="str">
        <f t="shared" si="4"/>
        <v/>
      </c>
      <c r="Q74" s="9"/>
      <c r="R74" s="4" t="str">
        <f t="shared" si="5"/>
        <v>Sin dato</v>
      </c>
      <c r="S74" s="1"/>
      <c r="T74" s="1"/>
      <c r="U74" s="1"/>
      <c r="V74" s="1"/>
      <c r="W74" s="1"/>
      <c r="X74" s="1"/>
      <c r="Y74" s="1"/>
      <c r="Z74" s="1"/>
    </row>
    <row r="75" spans="1:26">
      <c r="A75" s="4"/>
      <c r="B75" s="4"/>
      <c r="C75" s="4"/>
      <c r="D75" s="4"/>
      <c r="E75" s="4"/>
      <c r="F75" s="4"/>
      <c r="G75" s="4"/>
      <c r="H75" s="6"/>
      <c r="I75" s="6"/>
      <c r="J75" s="4"/>
      <c r="K75" s="4"/>
      <c r="L75" s="4"/>
      <c r="M75" s="4"/>
      <c r="N75" s="8"/>
      <c r="O75" s="8"/>
      <c r="P75" s="7" t="str">
        <f t="shared" si="4"/>
        <v/>
      </c>
      <c r="Q75" s="9"/>
      <c r="R75" s="4" t="str">
        <f t="shared" si="5"/>
        <v>Sin dato</v>
      </c>
      <c r="S75" s="1"/>
      <c r="T75" s="1"/>
      <c r="U75" s="1"/>
      <c r="V75" s="1"/>
      <c r="W75" s="1"/>
      <c r="X75" s="1"/>
      <c r="Y75" s="1"/>
      <c r="Z75" s="1"/>
    </row>
    <row r="76" spans="1:26">
      <c r="A76" s="4"/>
      <c r="B76" s="4"/>
      <c r="C76" s="4"/>
      <c r="D76" s="4"/>
      <c r="E76" s="4"/>
      <c r="F76" s="4"/>
      <c r="G76" s="4"/>
      <c r="H76" s="6"/>
      <c r="I76" s="6"/>
      <c r="J76" s="4"/>
      <c r="K76" s="4"/>
      <c r="L76" s="4"/>
      <c r="M76" s="4"/>
      <c r="N76" s="8"/>
      <c r="O76" s="8"/>
      <c r="P76" s="7" t="str">
        <f t="shared" si="4"/>
        <v/>
      </c>
      <c r="Q76" s="9"/>
      <c r="R76" s="4" t="str">
        <f t="shared" si="5"/>
        <v>Sin dato</v>
      </c>
      <c r="S76" s="1"/>
      <c r="T76" s="1"/>
      <c r="U76" s="1"/>
      <c r="V76" s="1"/>
      <c r="W76" s="1"/>
      <c r="X76" s="1"/>
      <c r="Y76" s="1"/>
      <c r="Z76" s="1"/>
    </row>
    <row r="77" spans="1:26">
      <c r="A77" s="4"/>
      <c r="B77" s="4"/>
      <c r="C77" s="4"/>
      <c r="D77" s="4"/>
      <c r="E77" s="4"/>
      <c r="F77" s="4"/>
      <c r="G77" s="4"/>
      <c r="H77" s="6"/>
      <c r="I77" s="6"/>
      <c r="J77" s="4"/>
      <c r="K77" s="4"/>
      <c r="L77" s="4"/>
      <c r="M77" s="4"/>
      <c r="N77" s="8"/>
      <c r="O77" s="8"/>
      <c r="P77" s="7" t="str">
        <f t="shared" si="4"/>
        <v/>
      </c>
      <c r="Q77" s="9"/>
      <c r="R77" s="4" t="str">
        <f t="shared" si="5"/>
        <v>Sin dato</v>
      </c>
      <c r="S77" s="1"/>
      <c r="T77" s="1"/>
      <c r="U77" s="1"/>
      <c r="V77" s="1"/>
      <c r="W77" s="1"/>
      <c r="X77" s="1"/>
      <c r="Y77" s="1"/>
      <c r="Z77" s="1"/>
    </row>
    <row r="78" spans="1:26">
      <c r="A78" s="4"/>
      <c r="B78" s="4"/>
      <c r="C78" s="4"/>
      <c r="D78" s="4"/>
      <c r="E78" s="4"/>
      <c r="F78" s="4"/>
      <c r="G78" s="4"/>
      <c r="H78" s="6"/>
      <c r="I78" s="6"/>
      <c r="J78" s="4"/>
      <c r="K78" s="4"/>
      <c r="L78" s="4"/>
      <c r="M78" s="4"/>
      <c r="N78" s="8"/>
      <c r="O78" s="8"/>
      <c r="P78" s="7" t="str">
        <f t="shared" si="4"/>
        <v/>
      </c>
      <c r="Q78" s="9"/>
      <c r="R78" s="4" t="str">
        <f t="shared" si="5"/>
        <v>Sin dato</v>
      </c>
      <c r="S78" s="1"/>
      <c r="T78" s="1"/>
      <c r="U78" s="1"/>
      <c r="V78" s="1"/>
      <c r="W78" s="1"/>
      <c r="X78" s="1"/>
      <c r="Y78" s="1"/>
      <c r="Z78" s="1"/>
    </row>
    <row r="79" spans="1:26">
      <c r="A79" s="4"/>
      <c r="B79" s="4"/>
      <c r="C79" s="4"/>
      <c r="D79" s="4"/>
      <c r="E79" s="4"/>
      <c r="F79" s="4"/>
      <c r="G79" s="4"/>
      <c r="H79" s="6"/>
      <c r="I79" s="6"/>
      <c r="J79" s="4"/>
      <c r="K79" s="4"/>
      <c r="L79" s="4"/>
      <c r="M79" s="4"/>
      <c r="N79" s="8"/>
      <c r="O79" s="8"/>
      <c r="P79" s="7" t="str">
        <f t="shared" si="4"/>
        <v/>
      </c>
      <c r="Q79" s="9"/>
      <c r="R79" s="4" t="str">
        <f t="shared" si="5"/>
        <v>Sin dato</v>
      </c>
      <c r="S79" s="1"/>
      <c r="T79" s="1"/>
      <c r="U79" s="1"/>
      <c r="V79" s="1"/>
      <c r="W79" s="1"/>
      <c r="X79" s="1"/>
      <c r="Y79" s="1"/>
      <c r="Z79" s="1"/>
    </row>
    <row r="80" spans="1:26">
      <c r="A80" s="4"/>
      <c r="B80" s="4"/>
      <c r="C80" s="4"/>
      <c r="D80" s="4"/>
      <c r="E80" s="4"/>
      <c r="F80" s="4"/>
      <c r="G80" s="4"/>
      <c r="H80" s="6"/>
      <c r="I80" s="6"/>
      <c r="J80" s="4"/>
      <c r="K80" s="4"/>
      <c r="L80" s="4"/>
      <c r="M80" s="4"/>
      <c r="N80" s="8"/>
      <c r="O80" s="8"/>
      <c r="P80" s="7" t="str">
        <f t="shared" si="4"/>
        <v/>
      </c>
      <c r="Q80" s="9"/>
      <c r="R80" s="4" t="str">
        <f t="shared" si="5"/>
        <v>Sin dato</v>
      </c>
      <c r="S80" s="1"/>
      <c r="T80" s="1"/>
      <c r="U80" s="1"/>
      <c r="V80" s="1"/>
      <c r="W80" s="1"/>
      <c r="X80" s="1"/>
      <c r="Y80" s="1"/>
      <c r="Z80" s="1"/>
    </row>
    <row r="81" spans="1:26">
      <c r="A81" s="4"/>
      <c r="B81" s="4"/>
      <c r="C81" s="4"/>
      <c r="D81" s="4"/>
      <c r="E81" s="4"/>
      <c r="F81" s="4"/>
      <c r="G81" s="4"/>
      <c r="H81" s="6"/>
      <c r="I81" s="6"/>
      <c r="J81" s="4"/>
      <c r="K81" s="4"/>
      <c r="L81" s="4"/>
      <c r="M81" s="4"/>
      <c r="N81" s="8"/>
      <c r="O81" s="8"/>
      <c r="P81" s="7" t="str">
        <f t="shared" si="4"/>
        <v/>
      </c>
      <c r="Q81" s="9"/>
      <c r="R81" s="4" t="str">
        <f t="shared" si="5"/>
        <v>Sin dato</v>
      </c>
      <c r="S81" s="1"/>
      <c r="T81" s="1"/>
      <c r="U81" s="1"/>
      <c r="V81" s="1"/>
      <c r="W81" s="1"/>
      <c r="X81" s="1"/>
      <c r="Y81" s="1"/>
      <c r="Z81" s="1"/>
    </row>
    <row r="82" spans="1:26">
      <c r="A82" s="4"/>
      <c r="B82" s="4"/>
      <c r="C82" s="4"/>
      <c r="D82" s="4"/>
      <c r="E82" s="4"/>
      <c r="F82" s="4"/>
      <c r="G82" s="4"/>
      <c r="H82" s="6"/>
      <c r="I82" s="6"/>
      <c r="J82" s="4"/>
      <c r="K82" s="4"/>
      <c r="L82" s="4"/>
      <c r="M82" s="4"/>
      <c r="N82" s="8"/>
      <c r="O82" s="8"/>
      <c r="P82" s="7" t="str">
        <f t="shared" si="4"/>
        <v/>
      </c>
      <c r="Q82" s="9"/>
      <c r="R82" s="4" t="str">
        <f t="shared" si="5"/>
        <v>Sin dato</v>
      </c>
      <c r="S82" s="1"/>
      <c r="T82" s="1"/>
      <c r="U82" s="1"/>
      <c r="V82" s="1"/>
      <c r="W82" s="1"/>
      <c r="X82" s="1"/>
      <c r="Y82" s="1"/>
      <c r="Z82" s="1"/>
    </row>
    <row r="83" spans="1:26">
      <c r="A83" s="4"/>
      <c r="B83" s="4"/>
      <c r="C83" s="4"/>
      <c r="D83" s="4"/>
      <c r="E83" s="4"/>
      <c r="F83" s="4"/>
      <c r="G83" s="4"/>
      <c r="H83" s="6"/>
      <c r="I83" s="6"/>
      <c r="J83" s="4"/>
      <c r="K83" s="4"/>
      <c r="L83" s="4"/>
      <c r="M83" s="4"/>
      <c r="N83" s="8"/>
      <c r="O83" s="8"/>
      <c r="P83" s="7" t="str">
        <f t="shared" si="4"/>
        <v/>
      </c>
      <c r="Q83" s="9"/>
      <c r="R83" s="4" t="str">
        <f t="shared" si="5"/>
        <v>Sin dato</v>
      </c>
      <c r="S83" s="1"/>
      <c r="T83" s="1"/>
      <c r="U83" s="1"/>
      <c r="V83" s="1"/>
      <c r="W83" s="1"/>
      <c r="X83" s="1"/>
      <c r="Y83" s="1"/>
      <c r="Z83" s="1"/>
    </row>
    <row r="84" spans="1:26">
      <c r="A84" s="4"/>
      <c r="B84" s="4"/>
      <c r="C84" s="4"/>
      <c r="D84" s="4"/>
      <c r="E84" s="4"/>
      <c r="F84" s="4"/>
      <c r="G84" s="4"/>
      <c r="H84" s="6"/>
      <c r="I84" s="6"/>
      <c r="J84" s="4"/>
      <c r="K84" s="4"/>
      <c r="L84" s="4"/>
      <c r="M84" s="4"/>
      <c r="N84" s="8"/>
      <c r="O84" s="8"/>
      <c r="P84" s="7" t="str">
        <f t="shared" si="4"/>
        <v/>
      </c>
      <c r="Q84" s="9"/>
      <c r="R84" s="4" t="str">
        <f t="shared" si="5"/>
        <v>Sin dato</v>
      </c>
      <c r="S84" s="1"/>
      <c r="T84" s="1"/>
      <c r="U84" s="1"/>
      <c r="V84" s="1"/>
      <c r="W84" s="1"/>
      <c r="X84" s="1"/>
      <c r="Y84" s="1"/>
      <c r="Z84" s="1"/>
    </row>
    <row r="85" spans="1:26">
      <c r="A85" s="4"/>
      <c r="B85" s="4"/>
      <c r="C85" s="4"/>
      <c r="D85" s="4"/>
      <c r="E85" s="4"/>
      <c r="F85" s="4"/>
      <c r="G85" s="4"/>
      <c r="H85" s="6"/>
      <c r="I85" s="6"/>
      <c r="J85" s="4"/>
      <c r="K85" s="4"/>
      <c r="L85" s="4"/>
      <c r="M85" s="4"/>
      <c r="N85" s="8"/>
      <c r="O85" s="8"/>
      <c r="P85" s="7" t="str">
        <f t="shared" si="4"/>
        <v/>
      </c>
      <c r="Q85" s="9"/>
      <c r="R85" s="4" t="str">
        <f t="shared" si="5"/>
        <v>Sin dato</v>
      </c>
      <c r="S85" s="1"/>
      <c r="T85" s="1"/>
      <c r="U85" s="1"/>
      <c r="V85" s="1"/>
      <c r="W85" s="1"/>
      <c r="X85" s="1"/>
      <c r="Y85" s="1"/>
      <c r="Z85" s="1"/>
    </row>
    <row r="86" spans="1:26">
      <c r="A86" s="4"/>
      <c r="B86" s="4"/>
      <c r="C86" s="4"/>
      <c r="D86" s="4"/>
      <c r="E86" s="4"/>
      <c r="F86" s="4"/>
      <c r="G86" s="4"/>
      <c r="H86" s="6"/>
      <c r="I86" s="6"/>
      <c r="J86" s="4"/>
      <c r="K86" s="4"/>
      <c r="L86" s="4"/>
      <c r="M86" s="4"/>
      <c r="N86" s="8"/>
      <c r="O86" s="8"/>
      <c r="P86" s="7" t="str">
        <f t="shared" si="4"/>
        <v/>
      </c>
      <c r="Q86" s="9"/>
      <c r="R86" s="4" t="str">
        <f t="shared" si="5"/>
        <v>Sin dato</v>
      </c>
      <c r="S86" s="1"/>
      <c r="T86" s="1"/>
      <c r="U86" s="1"/>
      <c r="V86" s="1"/>
      <c r="W86" s="1"/>
      <c r="X86" s="1"/>
      <c r="Y86" s="1"/>
      <c r="Z86" s="1"/>
    </row>
    <row r="87" spans="1:26">
      <c r="A87" s="4"/>
      <c r="B87" s="4"/>
      <c r="C87" s="4"/>
      <c r="D87" s="4"/>
      <c r="E87" s="4"/>
      <c r="F87" s="4"/>
      <c r="G87" s="4"/>
      <c r="H87" s="6"/>
      <c r="I87" s="6"/>
      <c r="J87" s="4"/>
      <c r="K87" s="4"/>
      <c r="L87" s="4"/>
      <c r="M87" s="4"/>
      <c r="N87" s="8"/>
      <c r="O87" s="8"/>
      <c r="P87" s="7" t="str">
        <f t="shared" si="4"/>
        <v/>
      </c>
      <c r="Q87" s="9"/>
      <c r="R87" s="4" t="str">
        <f t="shared" si="5"/>
        <v>Sin dato</v>
      </c>
      <c r="S87" s="1"/>
      <c r="T87" s="1"/>
      <c r="U87" s="1"/>
      <c r="V87" s="1"/>
      <c r="W87" s="1"/>
      <c r="X87" s="1"/>
      <c r="Y87" s="1"/>
      <c r="Z87" s="1"/>
    </row>
    <row r="88" spans="1:26">
      <c r="A88" s="4"/>
      <c r="B88" s="4"/>
      <c r="C88" s="4"/>
      <c r="D88" s="4"/>
      <c r="E88" s="4"/>
      <c r="F88" s="4"/>
      <c r="G88" s="4"/>
      <c r="H88" s="6"/>
      <c r="I88" s="6"/>
      <c r="J88" s="4"/>
      <c r="K88" s="4"/>
      <c r="L88" s="4"/>
      <c r="M88" s="4"/>
      <c r="N88" s="8"/>
      <c r="O88" s="8"/>
      <c r="P88" s="7" t="str">
        <f t="shared" si="4"/>
        <v/>
      </c>
      <c r="Q88" s="9"/>
      <c r="R88" s="4" t="str">
        <f t="shared" si="5"/>
        <v>Sin dato</v>
      </c>
      <c r="S88" s="1"/>
      <c r="T88" s="1"/>
      <c r="U88" s="1"/>
      <c r="V88" s="1"/>
      <c r="W88" s="1"/>
      <c r="X88" s="1"/>
      <c r="Y88" s="1"/>
      <c r="Z88" s="1"/>
    </row>
    <row r="89" spans="1:26">
      <c r="A89" s="4"/>
      <c r="B89" s="4"/>
      <c r="C89" s="4"/>
      <c r="D89" s="4"/>
      <c r="E89" s="4"/>
      <c r="F89" s="4"/>
      <c r="G89" s="4"/>
      <c r="H89" s="6"/>
      <c r="I89" s="6"/>
      <c r="J89" s="4"/>
      <c r="K89" s="4"/>
      <c r="L89" s="4"/>
      <c r="M89" s="4"/>
      <c r="N89" s="8"/>
      <c r="O89" s="8"/>
      <c r="P89" s="7" t="str">
        <f t="shared" si="4"/>
        <v/>
      </c>
      <c r="Q89" s="9"/>
      <c r="R89" s="4" t="str">
        <f t="shared" si="5"/>
        <v>Sin dato</v>
      </c>
      <c r="S89" s="1"/>
      <c r="T89" s="1"/>
      <c r="U89" s="1"/>
      <c r="V89" s="1"/>
      <c r="W89" s="1"/>
      <c r="X89" s="1"/>
      <c r="Y89" s="1"/>
      <c r="Z89" s="1"/>
    </row>
    <row r="90" spans="1:26">
      <c r="A90" s="4"/>
      <c r="B90" s="4"/>
      <c r="C90" s="4"/>
      <c r="D90" s="4"/>
      <c r="E90" s="4"/>
      <c r="F90" s="4"/>
      <c r="G90" s="4"/>
      <c r="H90" s="6"/>
      <c r="I90" s="6"/>
      <c r="J90" s="4"/>
      <c r="K90" s="4"/>
      <c r="L90" s="4"/>
      <c r="M90" s="4"/>
      <c r="N90" s="8"/>
      <c r="O90" s="8"/>
      <c r="P90" s="7" t="str">
        <f t="shared" si="4"/>
        <v/>
      </c>
      <c r="Q90" s="9"/>
      <c r="R90" s="4" t="str">
        <f t="shared" si="5"/>
        <v>Sin dato</v>
      </c>
      <c r="S90" s="1"/>
      <c r="T90" s="1"/>
      <c r="U90" s="1"/>
      <c r="V90" s="1"/>
      <c r="W90" s="1"/>
      <c r="X90" s="1"/>
      <c r="Y90" s="1"/>
      <c r="Z90" s="1"/>
    </row>
    <row r="91" spans="1:26">
      <c r="A91" s="4"/>
      <c r="B91" s="4"/>
      <c r="C91" s="4"/>
      <c r="D91" s="4"/>
      <c r="E91" s="4"/>
      <c r="F91" s="4"/>
      <c r="G91" s="4"/>
      <c r="H91" s="6"/>
      <c r="I91" s="6"/>
      <c r="J91" s="4"/>
      <c r="K91" s="4"/>
      <c r="L91" s="4"/>
      <c r="M91" s="4"/>
      <c r="N91" s="8"/>
      <c r="O91" s="8"/>
      <c r="P91" s="7" t="str">
        <f t="shared" si="4"/>
        <v/>
      </c>
      <c r="Q91" s="9"/>
      <c r="R91" s="4" t="str">
        <f t="shared" si="5"/>
        <v>Sin dato</v>
      </c>
      <c r="S91" s="1"/>
      <c r="T91" s="1"/>
      <c r="U91" s="1"/>
      <c r="V91" s="1"/>
      <c r="W91" s="1"/>
      <c r="X91" s="1"/>
      <c r="Y91" s="1"/>
      <c r="Z91" s="1"/>
    </row>
    <row r="92" spans="1:26">
      <c r="A92" s="4"/>
      <c r="B92" s="4"/>
      <c r="C92" s="4"/>
      <c r="D92" s="4"/>
      <c r="E92" s="4"/>
      <c r="F92" s="4"/>
      <c r="G92" s="4"/>
      <c r="H92" s="6"/>
      <c r="I92" s="6"/>
      <c r="J92" s="4"/>
      <c r="K92" s="4"/>
      <c r="L92" s="4"/>
      <c r="M92" s="4"/>
      <c r="N92" s="8"/>
      <c r="O92" s="8"/>
      <c r="P92" s="7" t="str">
        <f t="shared" si="4"/>
        <v/>
      </c>
      <c r="Q92" s="9"/>
      <c r="R92" s="4" t="str">
        <f t="shared" si="5"/>
        <v>Sin dato</v>
      </c>
      <c r="S92" s="1"/>
      <c r="T92" s="1"/>
      <c r="U92" s="1"/>
      <c r="V92" s="1"/>
      <c r="W92" s="1"/>
      <c r="X92" s="1"/>
      <c r="Y92" s="1"/>
      <c r="Z92" s="1"/>
    </row>
    <row r="93" spans="1:26">
      <c r="A93" s="4"/>
      <c r="B93" s="4"/>
      <c r="C93" s="4"/>
      <c r="D93" s="4"/>
      <c r="E93" s="4"/>
      <c r="F93" s="4"/>
      <c r="G93" s="4"/>
      <c r="H93" s="6"/>
      <c r="I93" s="6"/>
      <c r="J93" s="4"/>
      <c r="K93" s="4"/>
      <c r="L93" s="4"/>
      <c r="M93" s="4"/>
      <c r="N93" s="8"/>
      <c r="O93" s="8"/>
      <c r="P93" s="7" t="str">
        <f t="shared" si="4"/>
        <v/>
      </c>
      <c r="Q93" s="9"/>
      <c r="R93" s="4" t="str">
        <f t="shared" si="5"/>
        <v>Sin dato</v>
      </c>
      <c r="S93" s="1"/>
      <c r="T93" s="1"/>
      <c r="U93" s="1"/>
      <c r="V93" s="1"/>
      <c r="W93" s="1"/>
      <c r="X93" s="1"/>
      <c r="Y93" s="1"/>
      <c r="Z93" s="1"/>
    </row>
    <row r="94" spans="1:26">
      <c r="A94" s="4"/>
      <c r="B94" s="4"/>
      <c r="C94" s="4"/>
      <c r="D94" s="4"/>
      <c r="E94" s="4"/>
      <c r="F94" s="4"/>
      <c r="G94" s="4"/>
      <c r="H94" s="6"/>
      <c r="I94" s="6"/>
      <c r="J94" s="4"/>
      <c r="K94" s="4"/>
      <c r="L94" s="4"/>
      <c r="M94" s="4"/>
      <c r="N94" s="8"/>
      <c r="O94" s="8"/>
      <c r="P94" s="7" t="str">
        <f t="shared" si="4"/>
        <v/>
      </c>
      <c r="Q94" s="9"/>
      <c r="R94" s="4" t="str">
        <f t="shared" si="5"/>
        <v>Sin dato</v>
      </c>
      <c r="S94" s="1"/>
      <c r="T94" s="1"/>
      <c r="U94" s="1"/>
      <c r="V94" s="1"/>
      <c r="W94" s="1"/>
      <c r="X94" s="1"/>
      <c r="Y94" s="1"/>
      <c r="Z94" s="1"/>
    </row>
    <row r="95" spans="1:26">
      <c r="A95" s="4"/>
      <c r="B95" s="4"/>
      <c r="C95" s="4"/>
      <c r="D95" s="4"/>
      <c r="E95" s="4"/>
      <c r="F95" s="4"/>
      <c r="G95" s="4"/>
      <c r="H95" s="6"/>
      <c r="I95" s="6"/>
      <c r="J95" s="4"/>
      <c r="K95" s="4"/>
      <c r="L95" s="4"/>
      <c r="M95" s="4"/>
      <c r="N95" s="8"/>
      <c r="O95" s="8"/>
      <c r="P95" s="7" t="str">
        <f t="shared" si="4"/>
        <v/>
      </c>
      <c r="Q95" s="9"/>
      <c r="R95" s="4" t="str">
        <f t="shared" si="5"/>
        <v>Sin dato</v>
      </c>
      <c r="S95" s="1"/>
      <c r="T95" s="1"/>
      <c r="U95" s="1"/>
      <c r="V95" s="1"/>
      <c r="W95" s="1"/>
      <c r="X95" s="1"/>
      <c r="Y95" s="1"/>
      <c r="Z95" s="1"/>
    </row>
    <row r="96" spans="1:26">
      <c r="A96" s="4"/>
      <c r="B96" s="4"/>
      <c r="C96" s="4"/>
      <c r="D96" s="4"/>
      <c r="E96" s="4"/>
      <c r="F96" s="4"/>
      <c r="G96" s="4"/>
      <c r="H96" s="6"/>
      <c r="I96" s="6"/>
      <c r="J96" s="4"/>
      <c r="K96" s="4"/>
      <c r="L96" s="4"/>
      <c r="M96" s="4"/>
      <c r="N96" s="8"/>
      <c r="O96" s="8"/>
      <c r="P96" s="7" t="str">
        <f t="shared" si="4"/>
        <v/>
      </c>
      <c r="Q96" s="9"/>
      <c r="R96" s="4" t="str">
        <f t="shared" si="5"/>
        <v>Sin dato</v>
      </c>
      <c r="S96" s="1"/>
      <c r="T96" s="1"/>
      <c r="U96" s="1"/>
      <c r="V96" s="1"/>
      <c r="W96" s="1"/>
      <c r="X96" s="1"/>
      <c r="Y96" s="1"/>
      <c r="Z96" s="1"/>
    </row>
    <row r="97" spans="1:26">
      <c r="A97" s="4"/>
      <c r="B97" s="4"/>
      <c r="C97" s="4"/>
      <c r="D97" s="4"/>
      <c r="E97" s="4"/>
      <c r="F97" s="4"/>
      <c r="G97" s="4"/>
      <c r="H97" s="6"/>
      <c r="I97" s="6"/>
      <c r="J97" s="4"/>
      <c r="K97" s="4"/>
      <c r="L97" s="4"/>
      <c r="M97" s="4"/>
      <c r="N97" s="8"/>
      <c r="O97" s="8"/>
      <c r="P97" s="7" t="str">
        <f t="shared" si="4"/>
        <v/>
      </c>
      <c r="Q97" s="9"/>
      <c r="R97" s="4" t="str">
        <f t="shared" si="5"/>
        <v>Sin dato</v>
      </c>
      <c r="S97" s="1"/>
      <c r="T97" s="1"/>
      <c r="U97" s="1"/>
      <c r="V97" s="1"/>
      <c r="W97" s="1"/>
      <c r="X97" s="1"/>
      <c r="Y97" s="1"/>
      <c r="Z97" s="1"/>
    </row>
    <row r="98" spans="1:26">
      <c r="A98" s="4"/>
      <c r="B98" s="4"/>
      <c r="C98" s="4"/>
      <c r="D98" s="4"/>
      <c r="E98" s="4"/>
      <c r="F98" s="4"/>
      <c r="G98" s="4"/>
      <c r="H98" s="6"/>
      <c r="I98" s="6"/>
      <c r="J98" s="4"/>
      <c r="K98" s="4"/>
      <c r="L98" s="4"/>
      <c r="M98" s="4"/>
      <c r="N98" s="8"/>
      <c r="O98" s="8"/>
      <c r="P98" s="7" t="str">
        <f t="shared" si="4"/>
        <v/>
      </c>
      <c r="Q98" s="9"/>
      <c r="R98" s="4" t="str">
        <f t="shared" si="5"/>
        <v>Sin dato</v>
      </c>
      <c r="S98" s="1"/>
      <c r="T98" s="1"/>
      <c r="U98" s="1"/>
      <c r="V98" s="1"/>
      <c r="W98" s="1"/>
      <c r="X98" s="1"/>
      <c r="Y98" s="1"/>
      <c r="Z98" s="1"/>
    </row>
    <row r="99" spans="1:26">
      <c r="A99" s="4"/>
      <c r="B99" s="4"/>
      <c r="C99" s="4"/>
      <c r="D99" s="4"/>
      <c r="E99" s="4"/>
      <c r="F99" s="4"/>
      <c r="G99" s="4"/>
      <c r="H99" s="6"/>
      <c r="I99" s="6"/>
      <c r="J99" s="4"/>
      <c r="K99" s="4"/>
      <c r="L99" s="4"/>
      <c r="M99" s="4"/>
      <c r="N99" s="8"/>
      <c r="O99" s="8"/>
      <c r="P99" s="7" t="str">
        <f t="shared" si="4"/>
        <v/>
      </c>
      <c r="Q99" s="9"/>
      <c r="R99" s="4" t="str">
        <f t="shared" si="5"/>
        <v>Sin dato</v>
      </c>
      <c r="S99" s="1"/>
      <c r="T99" s="1"/>
      <c r="U99" s="1"/>
      <c r="V99" s="1"/>
      <c r="W99" s="1"/>
      <c r="X99" s="1"/>
      <c r="Y99" s="1"/>
      <c r="Z99" s="1"/>
    </row>
    <row r="100" spans="1:26">
      <c r="A100" s="4"/>
      <c r="B100" s="4"/>
      <c r="C100" s="4"/>
      <c r="D100" s="4"/>
      <c r="E100" s="4"/>
      <c r="F100" s="4"/>
      <c r="G100" s="4"/>
      <c r="H100" s="6"/>
      <c r="I100" s="6"/>
      <c r="J100" s="4"/>
      <c r="K100" s="4"/>
      <c r="L100" s="4"/>
      <c r="M100" s="4"/>
      <c r="N100" s="8"/>
      <c r="O100" s="8"/>
      <c r="P100" s="7" t="str">
        <f t="shared" si="4"/>
        <v/>
      </c>
      <c r="Q100" s="9"/>
      <c r="R100" s="4" t="str">
        <f t="shared" si="5"/>
        <v>Sin dato</v>
      </c>
      <c r="S100" s="1"/>
      <c r="T100" s="1"/>
      <c r="U100" s="1"/>
      <c r="V100" s="1"/>
      <c r="W100" s="1"/>
      <c r="X100" s="1"/>
      <c r="Y100" s="1"/>
      <c r="Z100" s="1"/>
    </row>
    <row r="101" spans="1:26">
      <c r="A101" s="4"/>
      <c r="B101" s="4"/>
      <c r="C101" s="4"/>
      <c r="D101" s="4"/>
      <c r="E101" s="4"/>
      <c r="F101" s="4"/>
      <c r="G101" s="4"/>
      <c r="H101" s="6"/>
      <c r="I101" s="6"/>
      <c r="J101" s="4"/>
      <c r="K101" s="4"/>
      <c r="L101" s="4"/>
      <c r="M101" s="4"/>
      <c r="N101" s="8"/>
      <c r="O101" s="8"/>
      <c r="P101" s="7" t="str">
        <f t="shared" si="4"/>
        <v/>
      </c>
      <c r="Q101" s="9"/>
      <c r="R101" s="4" t="str">
        <f t="shared" si="5"/>
        <v>Sin dato</v>
      </c>
      <c r="S101" s="1"/>
      <c r="T101" s="1"/>
      <c r="U101" s="1"/>
      <c r="V101" s="1"/>
      <c r="W101" s="1"/>
      <c r="X101" s="1"/>
      <c r="Y101" s="1"/>
      <c r="Z101" s="1"/>
    </row>
    <row r="102" spans="1:26">
      <c r="A102" s="4"/>
      <c r="B102" s="4"/>
      <c r="C102" s="4"/>
      <c r="D102" s="4"/>
      <c r="E102" s="4"/>
      <c r="F102" s="4"/>
      <c r="G102" s="4"/>
      <c r="H102" s="6"/>
      <c r="I102" s="6"/>
      <c r="J102" s="4"/>
      <c r="K102" s="4"/>
      <c r="L102" s="4"/>
      <c r="M102" s="4"/>
      <c r="N102" s="8"/>
      <c r="O102" s="8"/>
      <c r="P102" s="7" t="str">
        <f t="shared" si="4"/>
        <v/>
      </c>
      <c r="Q102" s="9"/>
      <c r="R102" s="4" t="str">
        <f t="shared" si="5"/>
        <v>Sin dato</v>
      </c>
      <c r="S102" s="1"/>
      <c r="T102" s="1"/>
      <c r="U102" s="1"/>
      <c r="V102" s="1"/>
      <c r="W102" s="1"/>
      <c r="X102" s="1"/>
      <c r="Y102" s="1"/>
      <c r="Z102" s="1"/>
    </row>
    <row r="103" spans="1:26">
      <c r="A103" s="4"/>
      <c r="B103" s="4"/>
      <c r="C103" s="4"/>
      <c r="D103" s="4"/>
      <c r="E103" s="4"/>
      <c r="F103" s="4"/>
      <c r="G103" s="4"/>
      <c r="H103" s="6"/>
      <c r="I103" s="6"/>
      <c r="J103" s="4"/>
      <c r="K103" s="4"/>
      <c r="L103" s="4"/>
      <c r="M103" s="4"/>
      <c r="N103" s="8"/>
      <c r="O103" s="8"/>
      <c r="P103" s="7" t="str">
        <f t="shared" ref="P103:P106" si="6">IFERROR(N103/O103,"")</f>
        <v/>
      </c>
      <c r="Q103" s="9"/>
      <c r="R103" s="4" t="str">
        <f t="shared" si="5"/>
        <v>Sin dato</v>
      </c>
      <c r="S103" s="1"/>
      <c r="T103" s="1"/>
      <c r="U103" s="1"/>
      <c r="V103" s="1"/>
      <c r="W103" s="1"/>
      <c r="X103" s="1"/>
      <c r="Y103" s="1"/>
      <c r="Z103" s="1"/>
    </row>
    <row r="104" spans="1:26">
      <c r="A104" s="4"/>
      <c r="B104" s="4"/>
      <c r="C104" s="4"/>
      <c r="D104" s="4"/>
      <c r="E104" s="4"/>
      <c r="F104" s="4"/>
      <c r="G104" s="4"/>
      <c r="H104" s="6"/>
      <c r="I104" s="6"/>
      <c r="J104" s="4"/>
      <c r="K104" s="4"/>
      <c r="L104" s="4"/>
      <c r="M104" s="4"/>
      <c r="N104" s="8"/>
      <c r="O104" s="8"/>
      <c r="P104" s="7" t="str">
        <f t="shared" si="6"/>
        <v/>
      </c>
      <c r="Q104" s="9"/>
      <c r="R104" s="4" t="str">
        <f t="shared" si="5"/>
        <v>Sin dato</v>
      </c>
      <c r="S104" s="1"/>
      <c r="T104" s="1"/>
      <c r="U104" s="1"/>
      <c r="V104" s="1"/>
      <c r="W104" s="1"/>
      <c r="X104" s="1"/>
      <c r="Y104" s="1"/>
      <c r="Z104" s="1"/>
    </row>
    <row r="105" spans="1:26">
      <c r="A105" s="4"/>
      <c r="B105" s="4"/>
      <c r="C105" s="4"/>
      <c r="D105" s="4"/>
      <c r="E105" s="4"/>
      <c r="F105" s="4"/>
      <c r="G105" s="4"/>
      <c r="H105" s="6"/>
      <c r="I105" s="6"/>
      <c r="J105" s="4"/>
      <c r="K105" s="4"/>
      <c r="L105" s="4"/>
      <c r="M105" s="4"/>
      <c r="N105" s="8"/>
      <c r="O105" s="8"/>
      <c r="P105" s="7" t="str">
        <f t="shared" si="6"/>
        <v/>
      </c>
      <c r="Q105" s="9"/>
      <c r="R105" s="4" t="str">
        <f t="shared" si="5"/>
        <v>Sin dato</v>
      </c>
      <c r="S105" s="1"/>
      <c r="T105" s="1"/>
      <c r="U105" s="1"/>
      <c r="V105" s="1"/>
      <c r="W105" s="1"/>
      <c r="X105" s="1"/>
      <c r="Y105" s="1"/>
      <c r="Z105" s="1"/>
    </row>
    <row r="106" spans="1:26">
      <c r="A106" s="4"/>
      <c r="B106" s="4"/>
      <c r="C106" s="4"/>
      <c r="D106" s="4"/>
      <c r="E106" s="4"/>
      <c r="F106" s="4"/>
      <c r="G106" s="4"/>
      <c r="H106" s="6"/>
      <c r="I106" s="6"/>
      <c r="J106" s="4"/>
      <c r="K106" s="4"/>
      <c r="L106" s="4"/>
      <c r="M106" s="4"/>
      <c r="N106" s="8"/>
      <c r="O106" s="8"/>
      <c r="P106" s="7" t="str">
        <f t="shared" si="6"/>
        <v/>
      </c>
      <c r="Q106" s="9"/>
      <c r="R106" s="4" t="str">
        <f t="shared" si="5"/>
        <v>Sin dato</v>
      </c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2:R2"/>
    <mergeCell ref="A3:R3"/>
  </mergeCells>
  <conditionalFormatting sqref="R7:R106">
    <cfRule type="containsText" dxfId="4" priority="1" operator="containsText" text="Rojo"/>
    <cfRule type="containsText" dxfId="3" priority="2" operator="containsText" text="Amarillo"/>
    <cfRule type="containsText" dxfId="2" priority="3" operator="containsText" text="Verde"/>
  </conditionalFormatting>
  <pageMargins left="0.7" right="0.7" top="0.75" bottom="0.75" header="0.3" footer="0.3"/>
  <headerFooter>
    <oddFooter>&amp;L_x000D_&amp;1#&amp;"Aptos"&amp;10&amp;K000000 Información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baseColWidth="10" defaultColWidth="9" defaultRowHeight="14.25"/>
  <cols>
    <col min="1" max="1" width="6" customWidth="1"/>
    <col min="2" max="2" width="22" customWidth="1"/>
    <col min="3" max="3" width="34" customWidth="1"/>
    <col min="4" max="5" width="25" customWidth="1"/>
    <col min="6" max="6" width="24" customWidth="1"/>
    <col min="7" max="7" width="22" customWidth="1"/>
    <col min="8" max="10" width="13" customWidth="1"/>
    <col min="11" max="11" width="16" customWidth="1"/>
    <col min="12" max="12" width="32" customWidth="1"/>
    <col min="13" max="13" width="22" customWidth="1"/>
    <col min="14" max="14" width="21" customWidth="1"/>
    <col min="15" max="15" width="30" customWidth="1"/>
    <col min="16" max="16" width="32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>
      <c r="A2" s="11" t="s">
        <v>221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3" t="s">
        <v>222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2.1" customHeight="1">
      <c r="A6" s="3" t="s">
        <v>49</v>
      </c>
      <c r="B6" s="3" t="s">
        <v>223</v>
      </c>
      <c r="C6" s="3" t="s">
        <v>224</v>
      </c>
      <c r="D6" s="3" t="s">
        <v>225</v>
      </c>
      <c r="E6" s="3" t="s">
        <v>226</v>
      </c>
      <c r="F6" s="3" t="s">
        <v>227</v>
      </c>
      <c r="G6" s="3" t="s">
        <v>228</v>
      </c>
      <c r="H6" s="3" t="s">
        <v>229</v>
      </c>
      <c r="I6" s="3" t="s">
        <v>58</v>
      </c>
      <c r="J6" s="3" t="s">
        <v>230</v>
      </c>
      <c r="K6" s="3" t="s">
        <v>60</v>
      </c>
      <c r="L6" s="3" t="s">
        <v>231</v>
      </c>
      <c r="M6" s="3" t="s">
        <v>232</v>
      </c>
      <c r="N6" s="3" t="s">
        <v>233</v>
      </c>
      <c r="O6" s="3" t="s">
        <v>234</v>
      </c>
      <c r="P6" s="3" t="s">
        <v>235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4">
        <v>1</v>
      </c>
      <c r="B7" s="4" t="s">
        <v>236</v>
      </c>
      <c r="C7" s="4" t="s">
        <v>237</v>
      </c>
      <c r="D7" s="4" t="s">
        <v>238</v>
      </c>
      <c r="E7" s="4" t="s">
        <v>239</v>
      </c>
      <c r="F7" s="8" t="s">
        <v>240</v>
      </c>
      <c r="G7" s="8" t="s">
        <v>29</v>
      </c>
      <c r="H7" s="9"/>
      <c r="I7" s="9"/>
      <c r="J7" s="9"/>
      <c r="K7" s="8" t="s">
        <v>241</v>
      </c>
      <c r="L7" s="4" t="s">
        <v>242</v>
      </c>
      <c r="M7" s="4" t="s">
        <v>243</v>
      </c>
      <c r="N7" s="4" t="s">
        <v>244</v>
      </c>
      <c r="O7" s="8" t="s">
        <v>245</v>
      </c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4">
        <v>2</v>
      </c>
      <c r="B8" s="4" t="s">
        <v>236</v>
      </c>
      <c r="C8" s="4" t="s">
        <v>246</v>
      </c>
      <c r="D8" s="4" t="s">
        <v>247</v>
      </c>
      <c r="E8" s="4" t="s">
        <v>248</v>
      </c>
      <c r="F8" s="8" t="s">
        <v>249</v>
      </c>
      <c r="G8" s="8" t="s">
        <v>220</v>
      </c>
      <c r="H8" s="9"/>
      <c r="I8" s="9"/>
      <c r="J8" s="9"/>
      <c r="K8" s="8" t="s">
        <v>241</v>
      </c>
      <c r="L8" s="4" t="s">
        <v>250</v>
      </c>
      <c r="M8" s="4" t="s">
        <v>251</v>
      </c>
      <c r="N8" s="4" t="s">
        <v>252</v>
      </c>
      <c r="O8" s="8" t="s">
        <v>253</v>
      </c>
      <c r="P8" s="8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4">
        <v>3</v>
      </c>
      <c r="B9" s="4" t="s">
        <v>254</v>
      </c>
      <c r="C9" s="4" t="s">
        <v>255</v>
      </c>
      <c r="D9" s="4" t="s">
        <v>256</v>
      </c>
      <c r="E9" s="4" t="s">
        <v>257</v>
      </c>
      <c r="F9" s="8" t="s">
        <v>258</v>
      </c>
      <c r="G9" s="8" t="s">
        <v>259</v>
      </c>
      <c r="H9" s="9"/>
      <c r="I9" s="9"/>
      <c r="J9" s="9"/>
      <c r="K9" s="8" t="s">
        <v>241</v>
      </c>
      <c r="L9" s="4" t="s">
        <v>260</v>
      </c>
      <c r="M9" s="4" t="s">
        <v>259</v>
      </c>
      <c r="N9" s="4" t="s">
        <v>261</v>
      </c>
      <c r="O9" s="8" t="s">
        <v>262</v>
      </c>
      <c r="P9" s="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>
        <v>4</v>
      </c>
      <c r="B10" s="4" t="s">
        <v>254</v>
      </c>
      <c r="C10" s="4" t="s">
        <v>263</v>
      </c>
      <c r="D10" s="4" t="s">
        <v>256</v>
      </c>
      <c r="E10" s="4" t="s">
        <v>257</v>
      </c>
      <c r="F10" s="8" t="s">
        <v>264</v>
      </c>
      <c r="G10" s="8" t="s">
        <v>259</v>
      </c>
      <c r="H10" s="9"/>
      <c r="I10" s="9"/>
      <c r="J10" s="9"/>
      <c r="K10" s="8" t="s">
        <v>241</v>
      </c>
      <c r="L10" s="4" t="s">
        <v>265</v>
      </c>
      <c r="M10" s="4" t="s">
        <v>259</v>
      </c>
      <c r="N10" s="4" t="s">
        <v>261</v>
      </c>
      <c r="O10" s="8" t="s">
        <v>262</v>
      </c>
      <c r="P10" s="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4">
        <v>5</v>
      </c>
      <c r="B11" s="4" t="s">
        <v>266</v>
      </c>
      <c r="C11" s="4" t="s">
        <v>267</v>
      </c>
      <c r="D11" s="4" t="s">
        <v>268</v>
      </c>
      <c r="E11" s="4" t="s">
        <v>269</v>
      </c>
      <c r="F11" s="8" t="s">
        <v>264</v>
      </c>
      <c r="G11" s="8" t="s">
        <v>270</v>
      </c>
      <c r="H11" s="9"/>
      <c r="I11" s="9"/>
      <c r="J11" s="9"/>
      <c r="K11" s="8" t="s">
        <v>241</v>
      </c>
      <c r="L11" s="4" t="s">
        <v>271</v>
      </c>
      <c r="M11" s="4" t="s">
        <v>272</v>
      </c>
      <c r="N11" s="4" t="s">
        <v>261</v>
      </c>
      <c r="O11" s="8" t="s">
        <v>273</v>
      </c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4">
        <v>6</v>
      </c>
      <c r="B12" s="4" t="s">
        <v>266</v>
      </c>
      <c r="C12" s="4" t="s">
        <v>274</v>
      </c>
      <c r="D12" s="4" t="s">
        <v>275</v>
      </c>
      <c r="E12" s="4" t="s">
        <v>276</v>
      </c>
      <c r="F12" s="8" t="s">
        <v>264</v>
      </c>
      <c r="G12" s="8" t="s">
        <v>277</v>
      </c>
      <c r="H12" s="9"/>
      <c r="I12" s="9"/>
      <c r="J12" s="9"/>
      <c r="K12" s="8" t="s">
        <v>241</v>
      </c>
      <c r="L12" s="4" t="s">
        <v>278</v>
      </c>
      <c r="M12" s="4" t="s">
        <v>279</v>
      </c>
      <c r="N12" s="4" t="s">
        <v>280</v>
      </c>
      <c r="O12" s="8" t="s">
        <v>281</v>
      </c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>
        <v>7</v>
      </c>
      <c r="B13" s="4" t="s">
        <v>282</v>
      </c>
      <c r="C13" s="4" t="s">
        <v>283</v>
      </c>
      <c r="D13" s="4" t="s">
        <v>284</v>
      </c>
      <c r="E13" s="4" t="s">
        <v>285</v>
      </c>
      <c r="F13" s="8" t="s">
        <v>286</v>
      </c>
      <c r="G13" s="8" t="s">
        <v>287</v>
      </c>
      <c r="H13" s="9"/>
      <c r="I13" s="9"/>
      <c r="J13" s="9"/>
      <c r="K13" s="8" t="s">
        <v>241</v>
      </c>
      <c r="L13" s="4" t="s">
        <v>288</v>
      </c>
      <c r="M13" s="4" t="s">
        <v>287</v>
      </c>
      <c r="N13" s="4" t="s">
        <v>289</v>
      </c>
      <c r="O13" s="8" t="s">
        <v>290</v>
      </c>
      <c r="P13" s="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>
        <v>8</v>
      </c>
      <c r="B14" s="4" t="s">
        <v>282</v>
      </c>
      <c r="C14" s="4" t="s">
        <v>291</v>
      </c>
      <c r="D14" s="4" t="s">
        <v>292</v>
      </c>
      <c r="E14" s="4" t="s">
        <v>293</v>
      </c>
      <c r="F14" s="8" t="s">
        <v>286</v>
      </c>
      <c r="G14" s="8" t="s">
        <v>287</v>
      </c>
      <c r="H14" s="9"/>
      <c r="I14" s="9"/>
      <c r="J14" s="9"/>
      <c r="K14" s="8" t="s">
        <v>241</v>
      </c>
      <c r="L14" s="4" t="s">
        <v>294</v>
      </c>
      <c r="M14" s="4" t="s">
        <v>287</v>
      </c>
      <c r="N14" s="4" t="s">
        <v>295</v>
      </c>
      <c r="O14" s="8" t="s">
        <v>290</v>
      </c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>
      <c r="A15" s="4">
        <v>9</v>
      </c>
      <c r="B15" s="4" t="s">
        <v>296</v>
      </c>
      <c r="C15" s="4" t="s">
        <v>297</v>
      </c>
      <c r="D15" s="4" t="s">
        <v>298</v>
      </c>
      <c r="E15" s="4" t="s">
        <v>299</v>
      </c>
      <c r="F15" s="8" t="s">
        <v>300</v>
      </c>
      <c r="G15" s="8" t="s">
        <v>301</v>
      </c>
      <c r="H15" s="9"/>
      <c r="I15" s="9"/>
      <c r="J15" s="9"/>
      <c r="K15" s="8" t="s">
        <v>241</v>
      </c>
      <c r="L15" s="4" t="s">
        <v>302</v>
      </c>
      <c r="M15" s="4" t="s">
        <v>303</v>
      </c>
      <c r="N15" s="4" t="s">
        <v>304</v>
      </c>
      <c r="O15" s="8" t="s">
        <v>305</v>
      </c>
      <c r="P15" s="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4">
        <v>10</v>
      </c>
      <c r="B16" s="4" t="s">
        <v>296</v>
      </c>
      <c r="C16" s="4" t="s">
        <v>306</v>
      </c>
      <c r="D16" s="4" t="s">
        <v>292</v>
      </c>
      <c r="E16" s="4" t="s">
        <v>307</v>
      </c>
      <c r="F16" s="8" t="s">
        <v>308</v>
      </c>
      <c r="G16" s="8" t="s">
        <v>309</v>
      </c>
      <c r="H16" s="9"/>
      <c r="I16" s="9"/>
      <c r="J16" s="9"/>
      <c r="K16" s="8" t="s">
        <v>241</v>
      </c>
      <c r="L16" s="4" t="s">
        <v>310</v>
      </c>
      <c r="M16" s="4" t="s">
        <v>311</v>
      </c>
      <c r="N16" s="4" t="s">
        <v>289</v>
      </c>
      <c r="O16" s="8" t="s">
        <v>312</v>
      </c>
      <c r="P16" s="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>
      <c r="A17" s="4">
        <v>11</v>
      </c>
      <c r="B17" s="4" t="s">
        <v>277</v>
      </c>
      <c r="C17" s="4" t="s">
        <v>313</v>
      </c>
      <c r="D17" s="4" t="s">
        <v>314</v>
      </c>
      <c r="E17" s="4" t="s">
        <v>315</v>
      </c>
      <c r="F17" s="8" t="s">
        <v>316</v>
      </c>
      <c r="G17" s="8" t="s">
        <v>277</v>
      </c>
      <c r="H17" s="9"/>
      <c r="I17" s="9"/>
      <c r="J17" s="9"/>
      <c r="K17" s="8" t="s">
        <v>241</v>
      </c>
      <c r="L17" s="4" t="s">
        <v>317</v>
      </c>
      <c r="M17" s="4" t="s">
        <v>318</v>
      </c>
      <c r="N17" s="4" t="s">
        <v>261</v>
      </c>
      <c r="O17" s="8" t="s">
        <v>319</v>
      </c>
      <c r="P17" s="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>
        <v>12</v>
      </c>
      <c r="B18" s="4" t="s">
        <v>215</v>
      </c>
      <c r="C18" s="4" t="s">
        <v>320</v>
      </c>
      <c r="D18" s="4" t="s">
        <v>321</v>
      </c>
      <c r="E18" s="4" t="s">
        <v>322</v>
      </c>
      <c r="F18" s="8" t="s">
        <v>323</v>
      </c>
      <c r="G18" s="8" t="s">
        <v>220</v>
      </c>
      <c r="H18" s="9"/>
      <c r="I18" s="9"/>
      <c r="J18" s="9"/>
      <c r="K18" s="8" t="s">
        <v>241</v>
      </c>
      <c r="L18" s="4" t="s">
        <v>324</v>
      </c>
      <c r="M18" s="4" t="s">
        <v>220</v>
      </c>
      <c r="N18" s="4" t="s">
        <v>252</v>
      </c>
      <c r="O18" s="8" t="s">
        <v>325</v>
      </c>
      <c r="P18" s="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>
      <c r="A19" s="4">
        <v>13</v>
      </c>
      <c r="B19" s="4" t="s">
        <v>236</v>
      </c>
      <c r="C19" s="4" t="s">
        <v>326</v>
      </c>
      <c r="D19" s="4" t="s">
        <v>327</v>
      </c>
      <c r="E19" s="4" t="s">
        <v>328</v>
      </c>
      <c r="F19" s="8" t="s">
        <v>329</v>
      </c>
      <c r="G19" s="8" t="s">
        <v>29</v>
      </c>
      <c r="H19" s="9"/>
      <c r="I19" s="9"/>
      <c r="J19" s="9"/>
      <c r="K19" s="8" t="s">
        <v>241</v>
      </c>
      <c r="L19" s="4" t="s">
        <v>330</v>
      </c>
      <c r="M19" s="4" t="s">
        <v>331</v>
      </c>
      <c r="N19" s="4" t="s">
        <v>289</v>
      </c>
      <c r="O19" s="8" t="s">
        <v>332</v>
      </c>
      <c r="P19" s="8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>
        <v>14</v>
      </c>
      <c r="B20" s="4" t="s">
        <v>165</v>
      </c>
      <c r="C20" s="4" t="s">
        <v>333</v>
      </c>
      <c r="D20" s="4" t="s">
        <v>334</v>
      </c>
      <c r="E20" s="4" t="s">
        <v>335</v>
      </c>
      <c r="F20" s="8" t="s">
        <v>336</v>
      </c>
      <c r="G20" s="8" t="s">
        <v>29</v>
      </c>
      <c r="H20" s="9"/>
      <c r="I20" s="9"/>
      <c r="J20" s="9"/>
      <c r="K20" s="8" t="s">
        <v>241</v>
      </c>
      <c r="L20" s="4" t="s">
        <v>337</v>
      </c>
      <c r="M20" s="4" t="s">
        <v>338</v>
      </c>
      <c r="N20" s="4" t="s">
        <v>261</v>
      </c>
      <c r="O20" s="8" t="s">
        <v>339</v>
      </c>
      <c r="P20" s="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>
        <v>15</v>
      </c>
      <c r="B21" s="4" t="s">
        <v>340</v>
      </c>
      <c r="C21" s="4" t="s">
        <v>341</v>
      </c>
      <c r="D21" s="4" t="s">
        <v>342</v>
      </c>
      <c r="E21" s="4" t="s">
        <v>83</v>
      </c>
      <c r="F21" s="8" t="s">
        <v>343</v>
      </c>
      <c r="G21" s="8" t="s">
        <v>83</v>
      </c>
      <c r="H21" s="9"/>
      <c r="I21" s="9"/>
      <c r="J21" s="9"/>
      <c r="K21" s="8" t="s">
        <v>241</v>
      </c>
      <c r="L21" s="4" t="s">
        <v>344</v>
      </c>
      <c r="M21" s="4" t="s">
        <v>83</v>
      </c>
      <c r="N21" s="4" t="s">
        <v>345</v>
      </c>
      <c r="O21" s="8" t="s">
        <v>346</v>
      </c>
      <c r="P21" s="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4"/>
      <c r="D22" s="4"/>
      <c r="E22" s="4"/>
      <c r="F22" s="8"/>
      <c r="G22" s="8"/>
      <c r="H22" s="9"/>
      <c r="I22" s="9"/>
      <c r="J22" s="9"/>
      <c r="K22" s="8"/>
      <c r="L22" s="4"/>
      <c r="M22" s="4"/>
      <c r="N22" s="4"/>
      <c r="O22" s="8"/>
      <c r="P22" s="8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4"/>
      <c r="D23" s="4"/>
      <c r="E23" s="4"/>
      <c r="F23" s="8"/>
      <c r="G23" s="8"/>
      <c r="H23" s="9"/>
      <c r="I23" s="9"/>
      <c r="J23" s="9"/>
      <c r="K23" s="8"/>
      <c r="L23" s="4"/>
      <c r="M23" s="4"/>
      <c r="N23" s="4"/>
      <c r="O23" s="8"/>
      <c r="P23" s="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4"/>
      <c r="D24" s="4"/>
      <c r="E24" s="4"/>
      <c r="F24" s="8"/>
      <c r="G24" s="8"/>
      <c r="H24" s="9"/>
      <c r="I24" s="9"/>
      <c r="J24" s="9"/>
      <c r="K24" s="8"/>
      <c r="L24" s="4"/>
      <c r="M24" s="4"/>
      <c r="N24" s="4"/>
      <c r="O24" s="8"/>
      <c r="P24" s="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4"/>
      <c r="D25" s="4"/>
      <c r="E25" s="4"/>
      <c r="F25" s="8"/>
      <c r="G25" s="8"/>
      <c r="H25" s="9"/>
      <c r="I25" s="9"/>
      <c r="J25" s="9"/>
      <c r="K25" s="8"/>
      <c r="L25" s="4"/>
      <c r="M25" s="4"/>
      <c r="N25" s="4"/>
      <c r="O25" s="8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4"/>
      <c r="D26" s="4"/>
      <c r="E26" s="4"/>
      <c r="F26" s="8"/>
      <c r="G26" s="8"/>
      <c r="H26" s="9"/>
      <c r="I26" s="9"/>
      <c r="J26" s="9"/>
      <c r="K26" s="8"/>
      <c r="L26" s="4"/>
      <c r="M26" s="4"/>
      <c r="N26" s="4"/>
      <c r="O26" s="8"/>
      <c r="P26" s="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/>
      <c r="B27" s="4"/>
      <c r="C27" s="4"/>
      <c r="D27" s="4"/>
      <c r="E27" s="4"/>
      <c r="F27" s="8"/>
      <c r="G27" s="8"/>
      <c r="H27" s="9"/>
      <c r="I27" s="9"/>
      <c r="J27" s="9"/>
      <c r="K27" s="8"/>
      <c r="L27" s="4"/>
      <c r="M27" s="4"/>
      <c r="N27" s="4"/>
      <c r="O27" s="8"/>
      <c r="P27" s="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/>
      <c r="B28" s="4"/>
      <c r="C28" s="4"/>
      <c r="D28" s="4"/>
      <c r="E28" s="4"/>
      <c r="F28" s="8"/>
      <c r="G28" s="8"/>
      <c r="H28" s="9"/>
      <c r="I28" s="9"/>
      <c r="J28" s="9"/>
      <c r="K28" s="8"/>
      <c r="L28" s="4"/>
      <c r="M28" s="4"/>
      <c r="N28" s="4"/>
      <c r="O28" s="8"/>
      <c r="P28" s="8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/>
      <c r="B29" s="4"/>
      <c r="C29" s="4"/>
      <c r="D29" s="4"/>
      <c r="E29" s="4"/>
      <c r="F29" s="8"/>
      <c r="G29" s="8"/>
      <c r="H29" s="9"/>
      <c r="I29" s="9"/>
      <c r="J29" s="9"/>
      <c r="K29" s="8"/>
      <c r="L29" s="4"/>
      <c r="M29" s="4"/>
      <c r="N29" s="4"/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/>
      <c r="B30" s="4"/>
      <c r="C30" s="4"/>
      <c r="D30" s="4"/>
      <c r="E30" s="4"/>
      <c r="F30" s="8"/>
      <c r="G30" s="8"/>
      <c r="H30" s="9"/>
      <c r="I30" s="9"/>
      <c r="J30" s="9"/>
      <c r="K30" s="8"/>
      <c r="L30" s="4"/>
      <c r="M30" s="4"/>
      <c r="N30" s="4"/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/>
      <c r="B31" s="4"/>
      <c r="C31" s="4"/>
      <c r="D31" s="4"/>
      <c r="E31" s="4"/>
      <c r="F31" s="8"/>
      <c r="G31" s="8"/>
      <c r="H31" s="9"/>
      <c r="I31" s="9"/>
      <c r="J31" s="9"/>
      <c r="K31" s="8"/>
      <c r="L31" s="4"/>
      <c r="M31" s="4"/>
      <c r="N31" s="4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"/>
      <c r="B32" s="4"/>
      <c r="C32" s="4"/>
      <c r="D32" s="4"/>
      <c r="E32" s="4"/>
      <c r="F32" s="8"/>
      <c r="G32" s="8"/>
      <c r="H32" s="9"/>
      <c r="I32" s="9"/>
      <c r="J32" s="9"/>
      <c r="K32" s="8"/>
      <c r="L32" s="4"/>
      <c r="M32" s="4"/>
      <c r="N32" s="4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/>
      <c r="B33" s="4"/>
      <c r="C33" s="4"/>
      <c r="D33" s="4"/>
      <c r="E33" s="4"/>
      <c r="F33" s="8"/>
      <c r="G33" s="8"/>
      <c r="H33" s="9"/>
      <c r="I33" s="9"/>
      <c r="J33" s="9"/>
      <c r="K33" s="8"/>
      <c r="L33" s="4"/>
      <c r="M33" s="4"/>
      <c r="N33" s="4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/>
      <c r="B34" s="4"/>
      <c r="C34" s="4"/>
      <c r="D34" s="4"/>
      <c r="E34" s="4"/>
      <c r="F34" s="8"/>
      <c r="G34" s="8"/>
      <c r="H34" s="9"/>
      <c r="I34" s="9"/>
      <c r="J34" s="9"/>
      <c r="K34" s="8"/>
      <c r="L34" s="4"/>
      <c r="M34" s="4"/>
      <c r="N34" s="4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/>
      <c r="B35" s="4"/>
      <c r="C35" s="4"/>
      <c r="D35" s="4"/>
      <c r="E35" s="4"/>
      <c r="F35" s="8"/>
      <c r="G35" s="8"/>
      <c r="H35" s="9"/>
      <c r="I35" s="9"/>
      <c r="J35" s="9"/>
      <c r="K35" s="8"/>
      <c r="L35" s="4"/>
      <c r="M35" s="4"/>
      <c r="N35" s="4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/>
      <c r="B36" s="4"/>
      <c r="C36" s="4"/>
      <c r="D36" s="4"/>
      <c r="E36" s="4"/>
      <c r="F36" s="8"/>
      <c r="G36" s="8"/>
      <c r="H36" s="9"/>
      <c r="I36" s="9"/>
      <c r="J36" s="9"/>
      <c r="K36" s="8"/>
      <c r="L36" s="4"/>
      <c r="M36" s="4"/>
      <c r="N36" s="4"/>
      <c r="O36" s="8"/>
      <c r="P36" s="8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/>
      <c r="B37" s="4"/>
      <c r="C37" s="4"/>
      <c r="D37" s="4"/>
      <c r="E37" s="4"/>
      <c r="F37" s="8"/>
      <c r="G37" s="8"/>
      <c r="H37" s="9"/>
      <c r="I37" s="9"/>
      <c r="J37" s="9"/>
      <c r="K37" s="8"/>
      <c r="L37" s="4"/>
      <c r="M37" s="4"/>
      <c r="N37" s="4"/>
      <c r="O37" s="8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"/>
      <c r="B38" s="4"/>
      <c r="C38" s="4"/>
      <c r="D38" s="4"/>
      <c r="E38" s="4"/>
      <c r="F38" s="8"/>
      <c r="G38" s="8"/>
      <c r="H38" s="9"/>
      <c r="I38" s="9"/>
      <c r="J38" s="9"/>
      <c r="K38" s="8"/>
      <c r="L38" s="4"/>
      <c r="M38" s="4"/>
      <c r="N38" s="4"/>
      <c r="O38" s="8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/>
      <c r="B39" s="4"/>
      <c r="C39" s="4"/>
      <c r="D39" s="4"/>
      <c r="E39" s="4"/>
      <c r="F39" s="8"/>
      <c r="G39" s="8"/>
      <c r="H39" s="9"/>
      <c r="I39" s="9"/>
      <c r="J39" s="9"/>
      <c r="K39" s="8"/>
      <c r="L39" s="4"/>
      <c r="M39" s="4"/>
      <c r="N39" s="4"/>
      <c r="O39" s="8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"/>
      <c r="B40" s="4"/>
      <c r="C40" s="4"/>
      <c r="D40" s="4"/>
      <c r="E40" s="4"/>
      <c r="F40" s="8"/>
      <c r="G40" s="8"/>
      <c r="H40" s="9"/>
      <c r="I40" s="9"/>
      <c r="J40" s="9"/>
      <c r="K40" s="8"/>
      <c r="L40" s="4"/>
      <c r="M40" s="4"/>
      <c r="N40" s="4"/>
      <c r="O40" s="8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"/>
      <c r="B41" s="4"/>
      <c r="C41" s="4"/>
      <c r="D41" s="4"/>
      <c r="E41" s="4"/>
      <c r="F41" s="8"/>
      <c r="G41" s="8"/>
      <c r="H41" s="9"/>
      <c r="I41" s="9"/>
      <c r="J41" s="9"/>
      <c r="K41" s="8"/>
      <c r="L41" s="4"/>
      <c r="M41" s="4"/>
      <c r="N41" s="4"/>
      <c r="O41" s="8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"/>
      <c r="B42" s="4"/>
      <c r="C42" s="4"/>
      <c r="D42" s="4"/>
      <c r="E42" s="4"/>
      <c r="F42" s="8"/>
      <c r="G42" s="8"/>
      <c r="H42" s="9"/>
      <c r="I42" s="9"/>
      <c r="J42" s="9"/>
      <c r="K42" s="8"/>
      <c r="L42" s="4"/>
      <c r="M42" s="4"/>
      <c r="N42" s="4"/>
      <c r="O42" s="8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"/>
      <c r="B43" s="4"/>
      <c r="C43" s="4"/>
      <c r="D43" s="4"/>
      <c r="E43" s="4"/>
      <c r="F43" s="8"/>
      <c r="G43" s="8"/>
      <c r="H43" s="9"/>
      <c r="I43" s="9"/>
      <c r="J43" s="9"/>
      <c r="K43" s="8"/>
      <c r="L43" s="4"/>
      <c r="M43" s="4"/>
      <c r="N43" s="4"/>
      <c r="O43" s="8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4"/>
      <c r="B44" s="4"/>
      <c r="C44" s="4"/>
      <c r="D44" s="4"/>
      <c r="E44" s="4"/>
      <c r="F44" s="8"/>
      <c r="G44" s="8"/>
      <c r="H44" s="9"/>
      <c r="I44" s="9"/>
      <c r="J44" s="9"/>
      <c r="K44" s="8"/>
      <c r="L44" s="4"/>
      <c r="M44" s="4"/>
      <c r="N44" s="4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"/>
      <c r="B45" s="4"/>
      <c r="C45" s="4"/>
      <c r="D45" s="4"/>
      <c r="E45" s="4"/>
      <c r="F45" s="8"/>
      <c r="G45" s="8"/>
      <c r="H45" s="9"/>
      <c r="I45" s="9"/>
      <c r="J45" s="9"/>
      <c r="K45" s="8"/>
      <c r="L45" s="4"/>
      <c r="M45" s="4"/>
      <c r="N45" s="4"/>
      <c r="O45" s="8"/>
      <c r="P45" s="8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"/>
      <c r="B46" s="4"/>
      <c r="C46" s="4"/>
      <c r="D46" s="4"/>
      <c r="E46" s="4"/>
      <c r="F46" s="8"/>
      <c r="G46" s="8"/>
      <c r="H46" s="9"/>
      <c r="I46" s="9"/>
      <c r="J46" s="9"/>
      <c r="K46" s="8"/>
      <c r="L46" s="4"/>
      <c r="M46" s="4"/>
      <c r="N46" s="4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"/>
      <c r="B47" s="4"/>
      <c r="C47" s="4"/>
      <c r="D47" s="4"/>
      <c r="E47" s="4"/>
      <c r="F47" s="8"/>
      <c r="G47" s="8"/>
      <c r="H47" s="9"/>
      <c r="I47" s="9"/>
      <c r="J47" s="9"/>
      <c r="K47" s="8"/>
      <c r="L47" s="4"/>
      <c r="M47" s="4"/>
      <c r="N47" s="4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"/>
      <c r="B48" s="4"/>
      <c r="C48" s="4"/>
      <c r="D48" s="4"/>
      <c r="E48" s="4"/>
      <c r="F48" s="8"/>
      <c r="G48" s="8"/>
      <c r="H48" s="9"/>
      <c r="I48" s="9"/>
      <c r="J48" s="9"/>
      <c r="K48" s="8"/>
      <c r="L48" s="4"/>
      <c r="M48" s="4"/>
      <c r="N48" s="4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"/>
      <c r="B49" s="4"/>
      <c r="C49" s="4"/>
      <c r="D49" s="4"/>
      <c r="E49" s="4"/>
      <c r="F49" s="8"/>
      <c r="G49" s="8"/>
      <c r="H49" s="9"/>
      <c r="I49" s="9"/>
      <c r="J49" s="9"/>
      <c r="K49" s="8"/>
      <c r="L49" s="4"/>
      <c r="M49" s="4"/>
      <c r="N49" s="4"/>
      <c r="O49" s="8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"/>
      <c r="B50" s="4"/>
      <c r="C50" s="4"/>
      <c r="D50" s="4"/>
      <c r="E50" s="4"/>
      <c r="F50" s="8"/>
      <c r="G50" s="8"/>
      <c r="H50" s="9"/>
      <c r="I50" s="9"/>
      <c r="J50" s="9"/>
      <c r="K50" s="8"/>
      <c r="L50" s="4"/>
      <c r="M50" s="4"/>
      <c r="N50" s="4"/>
      <c r="O50" s="8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"/>
      <c r="B51" s="4"/>
      <c r="C51" s="4"/>
      <c r="D51" s="4"/>
      <c r="E51" s="4"/>
      <c r="F51" s="8"/>
      <c r="G51" s="8"/>
      <c r="H51" s="9"/>
      <c r="I51" s="9"/>
      <c r="J51" s="9"/>
      <c r="K51" s="8"/>
      <c r="L51" s="4"/>
      <c r="M51" s="4"/>
      <c r="N51" s="4"/>
      <c r="O51" s="8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"/>
      <c r="B52" s="4"/>
      <c r="C52" s="4"/>
      <c r="D52" s="4"/>
      <c r="E52" s="4"/>
      <c r="F52" s="8"/>
      <c r="G52" s="8"/>
      <c r="H52" s="9"/>
      <c r="I52" s="9"/>
      <c r="J52" s="9"/>
      <c r="K52" s="8"/>
      <c r="L52" s="4"/>
      <c r="M52" s="4"/>
      <c r="N52" s="4"/>
      <c r="O52" s="8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4"/>
      <c r="B53" s="4"/>
      <c r="C53" s="4"/>
      <c r="D53" s="4"/>
      <c r="E53" s="4"/>
      <c r="F53" s="8"/>
      <c r="G53" s="8"/>
      <c r="H53" s="9"/>
      <c r="I53" s="9"/>
      <c r="J53" s="9"/>
      <c r="K53" s="8"/>
      <c r="L53" s="4"/>
      <c r="M53" s="4"/>
      <c r="N53" s="4"/>
      <c r="O53" s="8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4"/>
      <c r="B54" s="4"/>
      <c r="C54" s="4"/>
      <c r="D54" s="4"/>
      <c r="E54" s="4"/>
      <c r="F54" s="8"/>
      <c r="G54" s="8"/>
      <c r="H54" s="9"/>
      <c r="I54" s="9"/>
      <c r="J54" s="9"/>
      <c r="K54" s="8"/>
      <c r="L54" s="4"/>
      <c r="M54" s="4"/>
      <c r="N54" s="4"/>
      <c r="O54" s="8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4"/>
      <c r="B55" s="4"/>
      <c r="C55" s="4"/>
      <c r="D55" s="4"/>
      <c r="E55" s="4"/>
      <c r="F55" s="8"/>
      <c r="G55" s="8"/>
      <c r="H55" s="9"/>
      <c r="I55" s="9"/>
      <c r="J55" s="9"/>
      <c r="K55" s="8"/>
      <c r="L55" s="4"/>
      <c r="M55" s="4"/>
      <c r="N55" s="4"/>
      <c r="O55" s="8"/>
      <c r="P55" s="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4"/>
      <c r="B56" s="4"/>
      <c r="C56" s="4"/>
      <c r="D56" s="4"/>
      <c r="E56" s="4"/>
      <c r="F56" s="8"/>
      <c r="G56" s="8"/>
      <c r="H56" s="9"/>
      <c r="I56" s="9"/>
      <c r="J56" s="9"/>
      <c r="K56" s="8"/>
      <c r="L56" s="4"/>
      <c r="M56" s="4"/>
      <c r="N56" s="4"/>
      <c r="O56" s="8"/>
      <c r="P56" s="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4"/>
      <c r="B57" s="4"/>
      <c r="C57" s="4"/>
      <c r="D57" s="4"/>
      <c r="E57" s="4"/>
      <c r="F57" s="8"/>
      <c r="G57" s="8"/>
      <c r="H57" s="9"/>
      <c r="I57" s="9"/>
      <c r="J57" s="9"/>
      <c r="K57" s="8"/>
      <c r="L57" s="4"/>
      <c r="M57" s="4"/>
      <c r="N57" s="4"/>
      <c r="O57" s="8"/>
      <c r="P57" s="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4"/>
      <c r="B58" s="4"/>
      <c r="C58" s="4"/>
      <c r="D58" s="4"/>
      <c r="E58" s="4"/>
      <c r="F58" s="8"/>
      <c r="G58" s="8"/>
      <c r="H58" s="9"/>
      <c r="I58" s="9"/>
      <c r="J58" s="9"/>
      <c r="K58" s="8"/>
      <c r="L58" s="4"/>
      <c r="M58" s="4"/>
      <c r="N58" s="4"/>
      <c r="O58" s="8"/>
      <c r="P58" s="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4"/>
      <c r="B59" s="4"/>
      <c r="C59" s="4"/>
      <c r="D59" s="4"/>
      <c r="E59" s="4"/>
      <c r="F59" s="8"/>
      <c r="G59" s="8"/>
      <c r="H59" s="9"/>
      <c r="I59" s="9"/>
      <c r="J59" s="9"/>
      <c r="K59" s="8"/>
      <c r="L59" s="4"/>
      <c r="M59" s="4"/>
      <c r="N59" s="4"/>
      <c r="O59" s="8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4"/>
      <c r="B60" s="4"/>
      <c r="C60" s="4"/>
      <c r="D60" s="4"/>
      <c r="E60" s="4"/>
      <c r="F60" s="8"/>
      <c r="G60" s="8"/>
      <c r="H60" s="9"/>
      <c r="I60" s="9"/>
      <c r="J60" s="9"/>
      <c r="K60" s="8"/>
      <c r="L60" s="4"/>
      <c r="M60" s="4"/>
      <c r="N60" s="4"/>
      <c r="O60" s="8"/>
      <c r="P60" s="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4"/>
      <c r="B61" s="4"/>
      <c r="C61" s="4"/>
      <c r="D61" s="4"/>
      <c r="E61" s="4"/>
      <c r="F61" s="8"/>
      <c r="G61" s="8"/>
      <c r="H61" s="9"/>
      <c r="I61" s="9"/>
      <c r="J61" s="9"/>
      <c r="K61" s="8"/>
      <c r="L61" s="4"/>
      <c r="M61" s="4"/>
      <c r="N61" s="4"/>
      <c r="O61" s="8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4"/>
      <c r="B62" s="4"/>
      <c r="C62" s="4"/>
      <c r="D62" s="4"/>
      <c r="E62" s="4"/>
      <c r="F62" s="8"/>
      <c r="G62" s="8"/>
      <c r="H62" s="9"/>
      <c r="I62" s="9"/>
      <c r="J62" s="9"/>
      <c r="K62" s="8"/>
      <c r="L62" s="4"/>
      <c r="M62" s="4"/>
      <c r="N62" s="4"/>
      <c r="O62" s="8"/>
      <c r="P62" s="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4"/>
      <c r="B63" s="4"/>
      <c r="C63" s="4"/>
      <c r="D63" s="4"/>
      <c r="E63" s="4"/>
      <c r="F63" s="8"/>
      <c r="G63" s="8"/>
      <c r="H63" s="9"/>
      <c r="I63" s="9"/>
      <c r="J63" s="9"/>
      <c r="K63" s="8"/>
      <c r="L63" s="4"/>
      <c r="M63" s="4"/>
      <c r="N63" s="4"/>
      <c r="O63" s="8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4"/>
      <c r="B64" s="4"/>
      <c r="C64" s="4"/>
      <c r="D64" s="4"/>
      <c r="E64" s="4"/>
      <c r="F64" s="8"/>
      <c r="G64" s="8"/>
      <c r="H64" s="9"/>
      <c r="I64" s="9"/>
      <c r="J64" s="9"/>
      <c r="K64" s="8"/>
      <c r="L64" s="4"/>
      <c r="M64" s="4"/>
      <c r="N64" s="4"/>
      <c r="O64" s="8"/>
      <c r="P64" s="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4"/>
      <c r="B65" s="4"/>
      <c r="C65" s="4"/>
      <c r="D65" s="4"/>
      <c r="E65" s="4"/>
      <c r="F65" s="8"/>
      <c r="G65" s="8"/>
      <c r="H65" s="9"/>
      <c r="I65" s="9"/>
      <c r="J65" s="9"/>
      <c r="K65" s="8"/>
      <c r="L65" s="4"/>
      <c r="M65" s="4"/>
      <c r="N65" s="4"/>
      <c r="O65" s="8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4"/>
      <c r="B66" s="4"/>
      <c r="C66" s="4"/>
      <c r="D66" s="4"/>
      <c r="E66" s="4"/>
      <c r="F66" s="8"/>
      <c r="G66" s="8"/>
      <c r="H66" s="9"/>
      <c r="I66" s="9"/>
      <c r="J66" s="9"/>
      <c r="K66" s="8"/>
      <c r="L66" s="4"/>
      <c r="M66" s="4"/>
      <c r="N66" s="4"/>
      <c r="O66" s="8"/>
      <c r="P66" s="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4"/>
      <c r="B67" s="4"/>
      <c r="C67" s="4"/>
      <c r="D67" s="4"/>
      <c r="E67" s="4"/>
      <c r="F67" s="8"/>
      <c r="G67" s="8"/>
      <c r="H67" s="9"/>
      <c r="I67" s="9"/>
      <c r="J67" s="9"/>
      <c r="K67" s="8"/>
      <c r="L67" s="4"/>
      <c r="M67" s="4"/>
      <c r="N67" s="4"/>
      <c r="O67" s="8"/>
      <c r="P67" s="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4"/>
      <c r="B68" s="4"/>
      <c r="C68" s="4"/>
      <c r="D68" s="4"/>
      <c r="E68" s="4"/>
      <c r="F68" s="8"/>
      <c r="G68" s="8"/>
      <c r="H68" s="9"/>
      <c r="I68" s="9"/>
      <c r="J68" s="9"/>
      <c r="K68" s="8"/>
      <c r="L68" s="4"/>
      <c r="M68" s="4"/>
      <c r="N68" s="4"/>
      <c r="O68" s="8"/>
      <c r="P68" s="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4"/>
      <c r="B69" s="4"/>
      <c r="C69" s="4"/>
      <c r="D69" s="4"/>
      <c r="E69" s="4"/>
      <c r="F69" s="8"/>
      <c r="G69" s="8"/>
      <c r="H69" s="9"/>
      <c r="I69" s="9"/>
      <c r="J69" s="9"/>
      <c r="K69" s="8"/>
      <c r="L69" s="4"/>
      <c r="M69" s="4"/>
      <c r="N69" s="4"/>
      <c r="O69" s="8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4"/>
      <c r="B70" s="4"/>
      <c r="C70" s="4"/>
      <c r="D70" s="4"/>
      <c r="E70" s="4"/>
      <c r="F70" s="8"/>
      <c r="G70" s="8"/>
      <c r="H70" s="9"/>
      <c r="I70" s="9"/>
      <c r="J70" s="9"/>
      <c r="K70" s="8"/>
      <c r="L70" s="4"/>
      <c r="M70" s="4"/>
      <c r="N70" s="4"/>
      <c r="O70" s="8"/>
      <c r="P70" s="8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4"/>
      <c r="B71" s="4"/>
      <c r="C71" s="4"/>
      <c r="D71" s="4"/>
      <c r="E71" s="4"/>
      <c r="F71" s="8"/>
      <c r="G71" s="8"/>
      <c r="H71" s="9"/>
      <c r="I71" s="9"/>
      <c r="J71" s="9"/>
      <c r="K71" s="8"/>
      <c r="L71" s="4"/>
      <c r="M71" s="4"/>
      <c r="N71" s="4"/>
      <c r="O71" s="8"/>
      <c r="P71" s="8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4"/>
      <c r="B72" s="4"/>
      <c r="C72" s="4"/>
      <c r="D72" s="4"/>
      <c r="E72" s="4"/>
      <c r="F72" s="8"/>
      <c r="G72" s="8"/>
      <c r="H72" s="9"/>
      <c r="I72" s="9"/>
      <c r="J72" s="9"/>
      <c r="K72" s="8"/>
      <c r="L72" s="4"/>
      <c r="M72" s="4"/>
      <c r="N72" s="4"/>
      <c r="O72" s="8"/>
      <c r="P72" s="8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4"/>
      <c r="B73" s="4"/>
      <c r="C73" s="4"/>
      <c r="D73" s="4"/>
      <c r="E73" s="4"/>
      <c r="F73" s="8"/>
      <c r="G73" s="8"/>
      <c r="H73" s="9"/>
      <c r="I73" s="9"/>
      <c r="J73" s="9"/>
      <c r="K73" s="8"/>
      <c r="L73" s="4"/>
      <c r="M73" s="4"/>
      <c r="N73" s="4"/>
      <c r="O73" s="8"/>
      <c r="P73" s="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4"/>
      <c r="B74" s="4"/>
      <c r="C74" s="4"/>
      <c r="D74" s="4"/>
      <c r="E74" s="4"/>
      <c r="F74" s="8"/>
      <c r="G74" s="8"/>
      <c r="H74" s="9"/>
      <c r="I74" s="9"/>
      <c r="J74" s="9"/>
      <c r="K74" s="8"/>
      <c r="L74" s="4"/>
      <c r="M74" s="4"/>
      <c r="N74" s="4"/>
      <c r="O74" s="8"/>
      <c r="P74" s="8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4"/>
      <c r="B75" s="4"/>
      <c r="C75" s="4"/>
      <c r="D75" s="4"/>
      <c r="E75" s="4"/>
      <c r="F75" s="8"/>
      <c r="G75" s="8"/>
      <c r="H75" s="9"/>
      <c r="I75" s="9"/>
      <c r="J75" s="9"/>
      <c r="K75" s="8"/>
      <c r="L75" s="4"/>
      <c r="M75" s="4"/>
      <c r="N75" s="4"/>
      <c r="O75" s="8"/>
      <c r="P75" s="8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4"/>
      <c r="B76" s="4"/>
      <c r="C76" s="4"/>
      <c r="D76" s="4"/>
      <c r="E76" s="4"/>
      <c r="F76" s="8"/>
      <c r="G76" s="8"/>
      <c r="H76" s="9"/>
      <c r="I76" s="9"/>
      <c r="J76" s="9"/>
      <c r="K76" s="8"/>
      <c r="L76" s="4"/>
      <c r="M76" s="4"/>
      <c r="N76" s="4"/>
      <c r="O76" s="8"/>
      <c r="P76" s="8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4"/>
      <c r="B77" s="4"/>
      <c r="C77" s="4"/>
      <c r="D77" s="4"/>
      <c r="E77" s="4"/>
      <c r="F77" s="8"/>
      <c r="G77" s="8"/>
      <c r="H77" s="9"/>
      <c r="I77" s="9"/>
      <c r="J77" s="9"/>
      <c r="K77" s="8"/>
      <c r="L77" s="4"/>
      <c r="M77" s="4"/>
      <c r="N77" s="4"/>
      <c r="O77" s="8"/>
      <c r="P77" s="8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4"/>
      <c r="B78" s="4"/>
      <c r="C78" s="4"/>
      <c r="D78" s="4"/>
      <c r="E78" s="4"/>
      <c r="F78" s="8"/>
      <c r="G78" s="8"/>
      <c r="H78" s="9"/>
      <c r="I78" s="9"/>
      <c r="J78" s="9"/>
      <c r="K78" s="8"/>
      <c r="L78" s="4"/>
      <c r="M78" s="4"/>
      <c r="N78" s="4"/>
      <c r="O78" s="8"/>
      <c r="P78" s="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4"/>
      <c r="B79" s="4"/>
      <c r="C79" s="4"/>
      <c r="D79" s="4"/>
      <c r="E79" s="4"/>
      <c r="F79" s="8"/>
      <c r="G79" s="8"/>
      <c r="H79" s="9"/>
      <c r="I79" s="9"/>
      <c r="J79" s="9"/>
      <c r="K79" s="8"/>
      <c r="L79" s="4"/>
      <c r="M79" s="4"/>
      <c r="N79" s="4"/>
      <c r="O79" s="8"/>
      <c r="P79" s="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4"/>
      <c r="B80" s="4"/>
      <c r="C80" s="4"/>
      <c r="D80" s="4"/>
      <c r="E80" s="4"/>
      <c r="F80" s="8"/>
      <c r="G80" s="8"/>
      <c r="H80" s="9"/>
      <c r="I80" s="9"/>
      <c r="J80" s="9"/>
      <c r="K80" s="8"/>
      <c r="L80" s="4"/>
      <c r="M80" s="4"/>
      <c r="N80" s="4"/>
      <c r="O80" s="8"/>
      <c r="P80" s="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4"/>
      <c r="B81" s="4"/>
      <c r="C81" s="4"/>
      <c r="D81" s="4"/>
      <c r="E81" s="4"/>
      <c r="F81" s="8"/>
      <c r="G81" s="8"/>
      <c r="H81" s="9"/>
      <c r="I81" s="9"/>
      <c r="J81" s="9"/>
      <c r="K81" s="8"/>
      <c r="L81" s="4"/>
      <c r="M81" s="4"/>
      <c r="N81" s="4"/>
      <c r="O81" s="8"/>
      <c r="P81" s="8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4"/>
      <c r="B82" s="4"/>
      <c r="C82" s="4"/>
      <c r="D82" s="4"/>
      <c r="E82" s="4"/>
      <c r="F82" s="8"/>
      <c r="G82" s="8"/>
      <c r="H82" s="9"/>
      <c r="I82" s="9"/>
      <c r="J82" s="9"/>
      <c r="K82" s="8"/>
      <c r="L82" s="4"/>
      <c r="M82" s="4"/>
      <c r="N82" s="4"/>
      <c r="O82" s="8"/>
      <c r="P82" s="8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4"/>
      <c r="B83" s="4"/>
      <c r="C83" s="4"/>
      <c r="D83" s="4"/>
      <c r="E83" s="4"/>
      <c r="F83" s="8"/>
      <c r="G83" s="8"/>
      <c r="H83" s="9"/>
      <c r="I83" s="9"/>
      <c r="J83" s="9"/>
      <c r="K83" s="8"/>
      <c r="L83" s="4"/>
      <c r="M83" s="4"/>
      <c r="N83" s="4"/>
      <c r="O83" s="8"/>
      <c r="P83" s="8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4"/>
      <c r="B84" s="4"/>
      <c r="C84" s="4"/>
      <c r="D84" s="4"/>
      <c r="E84" s="4"/>
      <c r="F84" s="8"/>
      <c r="G84" s="8"/>
      <c r="H84" s="9"/>
      <c r="I84" s="9"/>
      <c r="J84" s="9"/>
      <c r="K84" s="8"/>
      <c r="L84" s="4"/>
      <c r="M84" s="4"/>
      <c r="N84" s="4"/>
      <c r="O84" s="8"/>
      <c r="P84" s="8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4"/>
      <c r="B85" s="4"/>
      <c r="C85" s="4"/>
      <c r="D85" s="4"/>
      <c r="E85" s="4"/>
      <c r="F85" s="8"/>
      <c r="G85" s="8"/>
      <c r="H85" s="9"/>
      <c r="I85" s="9"/>
      <c r="J85" s="9"/>
      <c r="K85" s="8"/>
      <c r="L85" s="4"/>
      <c r="M85" s="4"/>
      <c r="N85" s="4"/>
      <c r="O85" s="8"/>
      <c r="P85" s="8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4"/>
      <c r="B86" s="4"/>
      <c r="C86" s="4"/>
      <c r="D86" s="4"/>
      <c r="E86" s="4"/>
      <c r="F86" s="8"/>
      <c r="G86" s="8"/>
      <c r="H86" s="9"/>
      <c r="I86" s="9"/>
      <c r="J86" s="9"/>
      <c r="K86" s="8"/>
      <c r="L86" s="4"/>
      <c r="M86" s="4"/>
      <c r="N86" s="4"/>
      <c r="O86" s="8"/>
      <c r="P86" s="8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4"/>
      <c r="B87" s="4"/>
      <c r="C87" s="4"/>
      <c r="D87" s="4"/>
      <c r="E87" s="4"/>
      <c r="F87" s="8"/>
      <c r="G87" s="8"/>
      <c r="H87" s="9"/>
      <c r="I87" s="9"/>
      <c r="J87" s="9"/>
      <c r="K87" s="8"/>
      <c r="L87" s="4"/>
      <c r="M87" s="4"/>
      <c r="N87" s="4"/>
      <c r="O87" s="8"/>
      <c r="P87" s="8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4"/>
      <c r="B88" s="4"/>
      <c r="C88" s="4"/>
      <c r="D88" s="4"/>
      <c r="E88" s="4"/>
      <c r="F88" s="8"/>
      <c r="G88" s="8"/>
      <c r="H88" s="9"/>
      <c r="I88" s="9"/>
      <c r="J88" s="9"/>
      <c r="K88" s="8"/>
      <c r="L88" s="4"/>
      <c r="M88" s="4"/>
      <c r="N88" s="4"/>
      <c r="O88" s="8"/>
      <c r="P88" s="8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4"/>
      <c r="B89" s="4"/>
      <c r="C89" s="4"/>
      <c r="D89" s="4"/>
      <c r="E89" s="4"/>
      <c r="F89" s="8"/>
      <c r="G89" s="8"/>
      <c r="H89" s="9"/>
      <c r="I89" s="9"/>
      <c r="J89" s="9"/>
      <c r="K89" s="8"/>
      <c r="L89" s="4"/>
      <c r="M89" s="4"/>
      <c r="N89" s="4"/>
      <c r="O89" s="8"/>
      <c r="P89" s="8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4"/>
      <c r="B90" s="4"/>
      <c r="C90" s="4"/>
      <c r="D90" s="4"/>
      <c r="E90" s="4"/>
      <c r="F90" s="8"/>
      <c r="G90" s="8"/>
      <c r="H90" s="9"/>
      <c r="I90" s="9"/>
      <c r="J90" s="9"/>
      <c r="K90" s="8"/>
      <c r="L90" s="4"/>
      <c r="M90" s="4"/>
      <c r="N90" s="4"/>
      <c r="O90" s="8"/>
      <c r="P90" s="8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4"/>
      <c r="B91" s="4"/>
      <c r="C91" s="4"/>
      <c r="D91" s="4"/>
      <c r="E91" s="4"/>
      <c r="F91" s="8"/>
      <c r="G91" s="8"/>
      <c r="H91" s="9"/>
      <c r="I91" s="9"/>
      <c r="J91" s="9"/>
      <c r="K91" s="8"/>
      <c r="L91" s="4"/>
      <c r="M91" s="4"/>
      <c r="N91" s="4"/>
      <c r="O91" s="8"/>
      <c r="P91" s="8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4"/>
      <c r="B92" s="4"/>
      <c r="C92" s="4"/>
      <c r="D92" s="4"/>
      <c r="E92" s="4"/>
      <c r="F92" s="8"/>
      <c r="G92" s="8"/>
      <c r="H92" s="9"/>
      <c r="I92" s="9"/>
      <c r="J92" s="9"/>
      <c r="K92" s="8"/>
      <c r="L92" s="4"/>
      <c r="M92" s="4"/>
      <c r="N92" s="4"/>
      <c r="O92" s="8"/>
      <c r="P92" s="8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4"/>
      <c r="B93" s="4"/>
      <c r="C93" s="4"/>
      <c r="D93" s="4"/>
      <c r="E93" s="4"/>
      <c r="F93" s="8"/>
      <c r="G93" s="8"/>
      <c r="H93" s="9"/>
      <c r="I93" s="9"/>
      <c r="J93" s="9"/>
      <c r="K93" s="8"/>
      <c r="L93" s="4"/>
      <c r="M93" s="4"/>
      <c r="N93" s="4"/>
      <c r="O93" s="8"/>
      <c r="P93" s="8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4"/>
      <c r="B94" s="4"/>
      <c r="C94" s="4"/>
      <c r="D94" s="4"/>
      <c r="E94" s="4"/>
      <c r="F94" s="8"/>
      <c r="G94" s="8"/>
      <c r="H94" s="9"/>
      <c r="I94" s="9"/>
      <c r="J94" s="9"/>
      <c r="K94" s="8"/>
      <c r="L94" s="4"/>
      <c r="M94" s="4"/>
      <c r="N94" s="4"/>
      <c r="O94" s="8"/>
      <c r="P94" s="8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4"/>
      <c r="B95" s="4"/>
      <c r="C95" s="4"/>
      <c r="D95" s="4"/>
      <c r="E95" s="4"/>
      <c r="F95" s="8"/>
      <c r="G95" s="8"/>
      <c r="H95" s="9"/>
      <c r="I95" s="9"/>
      <c r="J95" s="9"/>
      <c r="K95" s="8"/>
      <c r="L95" s="4"/>
      <c r="M95" s="4"/>
      <c r="N95" s="4"/>
      <c r="O95" s="8"/>
      <c r="P95" s="8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4"/>
      <c r="B96" s="4"/>
      <c r="C96" s="4"/>
      <c r="D96" s="4"/>
      <c r="E96" s="4"/>
      <c r="F96" s="8"/>
      <c r="G96" s="8"/>
      <c r="H96" s="9"/>
      <c r="I96" s="9"/>
      <c r="J96" s="9"/>
      <c r="K96" s="8"/>
      <c r="L96" s="4"/>
      <c r="M96" s="4"/>
      <c r="N96" s="4"/>
      <c r="O96" s="8"/>
      <c r="P96" s="8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4"/>
      <c r="B97" s="4"/>
      <c r="C97" s="4"/>
      <c r="D97" s="4"/>
      <c r="E97" s="4"/>
      <c r="F97" s="8"/>
      <c r="G97" s="8"/>
      <c r="H97" s="9"/>
      <c r="I97" s="9"/>
      <c r="J97" s="9"/>
      <c r="K97" s="8"/>
      <c r="L97" s="4"/>
      <c r="M97" s="4"/>
      <c r="N97" s="4"/>
      <c r="O97" s="8"/>
      <c r="P97" s="8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4"/>
      <c r="B98" s="4"/>
      <c r="C98" s="4"/>
      <c r="D98" s="4"/>
      <c r="E98" s="4"/>
      <c r="F98" s="8"/>
      <c r="G98" s="8"/>
      <c r="H98" s="9"/>
      <c r="I98" s="9"/>
      <c r="J98" s="9"/>
      <c r="K98" s="8"/>
      <c r="L98" s="4"/>
      <c r="M98" s="4"/>
      <c r="N98" s="4"/>
      <c r="O98" s="8"/>
      <c r="P98" s="8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4"/>
      <c r="B99" s="4"/>
      <c r="C99" s="4"/>
      <c r="D99" s="4"/>
      <c r="E99" s="4"/>
      <c r="F99" s="8"/>
      <c r="G99" s="8"/>
      <c r="H99" s="9"/>
      <c r="I99" s="9"/>
      <c r="J99" s="9"/>
      <c r="K99" s="8"/>
      <c r="L99" s="4"/>
      <c r="M99" s="4"/>
      <c r="N99" s="4"/>
      <c r="O99" s="8"/>
      <c r="P99" s="8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4"/>
      <c r="B100" s="4"/>
      <c r="C100" s="4"/>
      <c r="D100" s="4"/>
      <c r="E100" s="4"/>
      <c r="F100" s="8"/>
      <c r="G100" s="8"/>
      <c r="H100" s="9"/>
      <c r="I100" s="9"/>
      <c r="J100" s="9"/>
      <c r="K100" s="8"/>
      <c r="L100" s="4"/>
      <c r="M100" s="4"/>
      <c r="N100" s="4"/>
      <c r="O100" s="8"/>
      <c r="P100" s="8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4"/>
      <c r="B101" s="4"/>
      <c r="C101" s="4"/>
      <c r="D101" s="4"/>
      <c r="E101" s="4"/>
      <c r="F101" s="8"/>
      <c r="G101" s="8"/>
      <c r="H101" s="9"/>
      <c r="I101" s="9"/>
      <c r="J101" s="9"/>
      <c r="K101" s="8"/>
      <c r="L101" s="4"/>
      <c r="M101" s="4"/>
      <c r="N101" s="4"/>
      <c r="O101" s="8"/>
      <c r="P101" s="8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4"/>
      <c r="B102" s="4"/>
      <c r="C102" s="4"/>
      <c r="D102" s="4"/>
      <c r="E102" s="4"/>
      <c r="F102" s="8"/>
      <c r="G102" s="8"/>
      <c r="H102" s="9"/>
      <c r="I102" s="9"/>
      <c r="J102" s="9"/>
      <c r="K102" s="8"/>
      <c r="L102" s="4"/>
      <c r="M102" s="4"/>
      <c r="N102" s="4"/>
      <c r="O102" s="8"/>
      <c r="P102" s="8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4"/>
      <c r="B103" s="4"/>
      <c r="C103" s="4"/>
      <c r="D103" s="4"/>
      <c r="E103" s="4"/>
      <c r="F103" s="8"/>
      <c r="G103" s="8"/>
      <c r="H103" s="9"/>
      <c r="I103" s="9"/>
      <c r="J103" s="9"/>
      <c r="K103" s="8"/>
      <c r="L103" s="4"/>
      <c r="M103" s="4"/>
      <c r="N103" s="4"/>
      <c r="O103" s="8"/>
      <c r="P103" s="8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4"/>
      <c r="B104" s="4"/>
      <c r="C104" s="4"/>
      <c r="D104" s="4"/>
      <c r="E104" s="4"/>
      <c r="F104" s="8"/>
      <c r="G104" s="8"/>
      <c r="H104" s="9"/>
      <c r="I104" s="9"/>
      <c r="J104" s="9"/>
      <c r="K104" s="8"/>
      <c r="L104" s="4"/>
      <c r="M104" s="4"/>
      <c r="N104" s="4"/>
      <c r="O104" s="8"/>
      <c r="P104" s="8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4"/>
      <c r="B105" s="4"/>
      <c r="C105" s="4"/>
      <c r="D105" s="4"/>
      <c r="E105" s="4"/>
      <c r="F105" s="8"/>
      <c r="G105" s="8"/>
      <c r="H105" s="9"/>
      <c r="I105" s="9"/>
      <c r="J105" s="9"/>
      <c r="K105" s="8"/>
      <c r="L105" s="4"/>
      <c r="M105" s="4"/>
      <c r="N105" s="4"/>
      <c r="O105" s="8"/>
      <c r="P105" s="8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4"/>
      <c r="B106" s="4"/>
      <c r="C106" s="4"/>
      <c r="D106" s="4"/>
      <c r="E106" s="4"/>
      <c r="F106" s="8"/>
      <c r="G106" s="8"/>
      <c r="H106" s="9"/>
      <c r="I106" s="9"/>
      <c r="J106" s="9"/>
      <c r="K106" s="8"/>
      <c r="L106" s="4"/>
      <c r="M106" s="4"/>
      <c r="N106" s="4"/>
      <c r="O106" s="8"/>
      <c r="P106" s="8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2:P2"/>
    <mergeCell ref="A3:P3"/>
  </mergeCells>
  <dataValidations count="1">
    <dataValidation type="list" sqref="K7:K106" xr:uid="{00000000-0002-0000-0300-000000000000}">
      <formula1>"Por solicitar,Solicitado,Recibido parcial,Recibido,Validado,No disponible"</formula1>
    </dataValidation>
  </dataValidations>
  <pageMargins left="0.7" right="0.7" top="0.75" bottom="0.75" header="0.3" footer="0.3"/>
  <headerFooter>
    <oddFooter>&amp;L_x000D_&amp;1#&amp;"Aptos"&amp;10&amp;K000000 Información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baseColWidth="10" defaultColWidth="9" defaultRowHeight="14.25"/>
  <cols>
    <col min="1" max="1" width="23" customWidth="1"/>
    <col min="2" max="2" width="11" customWidth="1"/>
    <col min="3" max="3" width="42" customWidth="1"/>
    <col min="4" max="4" width="13" customWidth="1"/>
    <col min="5" max="6" width="24" customWidth="1"/>
    <col min="7" max="7" width="13" customWidth="1"/>
    <col min="8" max="8" width="10" customWidth="1"/>
    <col min="9" max="9" width="32" customWidth="1"/>
    <col min="10" max="10" width="14" customWidth="1"/>
    <col min="11" max="11" width="16" customWidth="1"/>
    <col min="12" max="12" width="30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>
      <c r="A2" s="11" t="s">
        <v>347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3" t="s">
        <v>348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2.1" customHeight="1">
      <c r="A6" s="3" t="s">
        <v>349</v>
      </c>
      <c r="B6" s="3" t="s">
        <v>128</v>
      </c>
      <c r="C6" s="3" t="s">
        <v>350</v>
      </c>
      <c r="D6" s="3" t="s">
        <v>351</v>
      </c>
      <c r="E6" s="3" t="s">
        <v>352</v>
      </c>
      <c r="F6" s="3" t="s">
        <v>137</v>
      </c>
      <c r="G6" s="3" t="s">
        <v>353</v>
      </c>
      <c r="H6" s="3" t="s">
        <v>354</v>
      </c>
      <c r="I6" s="3" t="s">
        <v>355</v>
      </c>
      <c r="J6" s="3" t="s">
        <v>356</v>
      </c>
      <c r="K6" s="3" t="s">
        <v>357</v>
      </c>
      <c r="L6" s="3" t="s">
        <v>358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4" t="s">
        <v>359</v>
      </c>
      <c r="B7" s="4" t="s">
        <v>360</v>
      </c>
      <c r="C7" s="4" t="s">
        <v>361</v>
      </c>
      <c r="D7" s="4" t="s">
        <v>362</v>
      </c>
      <c r="E7" s="4" t="s">
        <v>29</v>
      </c>
      <c r="F7" s="4" t="s">
        <v>18</v>
      </c>
      <c r="G7" s="9"/>
      <c r="H7" s="8" t="s">
        <v>363</v>
      </c>
      <c r="I7" s="8" t="s">
        <v>364</v>
      </c>
      <c r="J7" s="8" t="s">
        <v>365</v>
      </c>
      <c r="K7" s="8" t="s">
        <v>366</v>
      </c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359</v>
      </c>
      <c r="B8" s="4" t="s">
        <v>367</v>
      </c>
      <c r="C8" s="4" t="s">
        <v>368</v>
      </c>
      <c r="D8" s="4" t="s">
        <v>362</v>
      </c>
      <c r="E8" s="4" t="s">
        <v>188</v>
      </c>
      <c r="F8" s="4" t="s">
        <v>184</v>
      </c>
      <c r="G8" s="9"/>
      <c r="H8" s="8" t="s">
        <v>363</v>
      </c>
      <c r="I8" s="8" t="s">
        <v>364</v>
      </c>
      <c r="J8" s="8" t="s">
        <v>365</v>
      </c>
      <c r="K8" s="8" t="s">
        <v>366</v>
      </c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 t="s">
        <v>359</v>
      </c>
      <c r="B9" s="4" t="s">
        <v>369</v>
      </c>
      <c r="C9" s="4" t="s">
        <v>370</v>
      </c>
      <c r="D9" s="4" t="s">
        <v>362</v>
      </c>
      <c r="E9" s="4" t="s">
        <v>82</v>
      </c>
      <c r="F9" s="4" t="s">
        <v>371</v>
      </c>
      <c r="G9" s="9"/>
      <c r="H9" s="8" t="s">
        <v>363</v>
      </c>
      <c r="I9" s="8" t="s">
        <v>364</v>
      </c>
      <c r="J9" s="8" t="s">
        <v>365</v>
      </c>
      <c r="K9" s="8" t="s">
        <v>366</v>
      </c>
      <c r="L9" s="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 t="s">
        <v>372</v>
      </c>
      <c r="B10" s="4" t="s">
        <v>373</v>
      </c>
      <c r="C10" s="4" t="s">
        <v>374</v>
      </c>
      <c r="D10" s="4" t="s">
        <v>362</v>
      </c>
      <c r="E10" s="4" t="s">
        <v>29</v>
      </c>
      <c r="F10" s="4" t="s">
        <v>375</v>
      </c>
      <c r="G10" s="9"/>
      <c r="H10" s="8" t="s">
        <v>363</v>
      </c>
      <c r="I10" s="8" t="s">
        <v>376</v>
      </c>
      <c r="J10" s="8" t="s">
        <v>365</v>
      </c>
      <c r="K10" s="8" t="s">
        <v>366</v>
      </c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 t="s">
        <v>372</v>
      </c>
      <c r="B11" s="4" t="s">
        <v>377</v>
      </c>
      <c r="C11" s="4" t="s">
        <v>378</v>
      </c>
      <c r="D11" s="4" t="s">
        <v>362</v>
      </c>
      <c r="E11" s="4" t="s">
        <v>379</v>
      </c>
      <c r="F11" s="4" t="s">
        <v>380</v>
      </c>
      <c r="G11" s="9"/>
      <c r="H11" s="8" t="s">
        <v>363</v>
      </c>
      <c r="I11" s="8" t="s">
        <v>376</v>
      </c>
      <c r="J11" s="8" t="s">
        <v>365</v>
      </c>
      <c r="K11" s="8" t="s">
        <v>366</v>
      </c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 t="s">
        <v>372</v>
      </c>
      <c r="B12" s="4" t="s">
        <v>381</v>
      </c>
      <c r="C12" s="4" t="s">
        <v>382</v>
      </c>
      <c r="D12" s="4" t="s">
        <v>362</v>
      </c>
      <c r="E12" s="4" t="s">
        <v>69</v>
      </c>
      <c r="F12" s="4" t="s">
        <v>383</v>
      </c>
      <c r="G12" s="9"/>
      <c r="H12" s="8" t="s">
        <v>363</v>
      </c>
      <c r="I12" s="8" t="s">
        <v>376</v>
      </c>
      <c r="J12" s="8" t="s">
        <v>365</v>
      </c>
      <c r="K12" s="8" t="s">
        <v>366</v>
      </c>
      <c r="L12" s="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 t="s">
        <v>384</v>
      </c>
      <c r="B13" s="4" t="s">
        <v>385</v>
      </c>
      <c r="C13" s="4" t="s">
        <v>386</v>
      </c>
      <c r="D13" s="4" t="s">
        <v>362</v>
      </c>
      <c r="E13" s="4" t="s">
        <v>189</v>
      </c>
      <c r="F13" s="4" t="s">
        <v>387</v>
      </c>
      <c r="G13" s="9"/>
      <c r="H13" s="8" t="s">
        <v>363</v>
      </c>
      <c r="I13" s="8" t="s">
        <v>388</v>
      </c>
      <c r="J13" s="8" t="s">
        <v>365</v>
      </c>
      <c r="K13" s="8" t="s">
        <v>366</v>
      </c>
      <c r="L13" s="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 t="s">
        <v>384</v>
      </c>
      <c r="B14" s="4" t="s">
        <v>389</v>
      </c>
      <c r="C14" s="4" t="s">
        <v>390</v>
      </c>
      <c r="D14" s="4" t="s">
        <v>362</v>
      </c>
      <c r="E14" s="4" t="s">
        <v>29</v>
      </c>
      <c r="F14" s="4" t="s">
        <v>391</v>
      </c>
      <c r="G14" s="9"/>
      <c r="H14" s="8" t="s">
        <v>363</v>
      </c>
      <c r="I14" s="8" t="s">
        <v>388</v>
      </c>
      <c r="J14" s="8" t="s">
        <v>365</v>
      </c>
      <c r="K14" s="8" t="s">
        <v>366</v>
      </c>
      <c r="L14" s="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 t="s">
        <v>384</v>
      </c>
      <c r="B15" s="4" t="s">
        <v>392</v>
      </c>
      <c r="C15" s="4" t="s">
        <v>393</v>
      </c>
      <c r="D15" s="4" t="s">
        <v>362</v>
      </c>
      <c r="E15" s="4" t="s">
        <v>29</v>
      </c>
      <c r="F15" s="4" t="s">
        <v>394</v>
      </c>
      <c r="G15" s="9"/>
      <c r="H15" s="8" t="s">
        <v>363</v>
      </c>
      <c r="I15" s="8" t="s">
        <v>388</v>
      </c>
      <c r="J15" s="8" t="s">
        <v>365</v>
      </c>
      <c r="K15" s="8" t="s">
        <v>366</v>
      </c>
      <c r="L15" s="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 t="s">
        <v>384</v>
      </c>
      <c r="B16" s="4" t="s">
        <v>395</v>
      </c>
      <c r="C16" s="4" t="s">
        <v>396</v>
      </c>
      <c r="D16" s="4" t="s">
        <v>362</v>
      </c>
      <c r="E16" s="4" t="s">
        <v>29</v>
      </c>
      <c r="F16" s="4" t="s">
        <v>105</v>
      </c>
      <c r="G16" s="9"/>
      <c r="H16" s="8" t="s">
        <v>363</v>
      </c>
      <c r="I16" s="8" t="s">
        <v>388</v>
      </c>
      <c r="J16" s="8" t="s">
        <v>365</v>
      </c>
      <c r="K16" s="8" t="s">
        <v>366</v>
      </c>
      <c r="L16" s="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 t="s">
        <v>397</v>
      </c>
      <c r="B17" s="4" t="s">
        <v>398</v>
      </c>
      <c r="C17" s="4" t="s">
        <v>399</v>
      </c>
      <c r="D17" s="4" t="s">
        <v>400</v>
      </c>
      <c r="E17" s="4" t="s">
        <v>29</v>
      </c>
      <c r="F17" s="4" t="s">
        <v>401</v>
      </c>
      <c r="G17" s="9"/>
      <c r="H17" s="8" t="s">
        <v>363</v>
      </c>
      <c r="I17" s="8" t="s">
        <v>402</v>
      </c>
      <c r="J17" s="8" t="s">
        <v>365</v>
      </c>
      <c r="K17" s="8" t="s">
        <v>366</v>
      </c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>
      <c r="A18" s="4" t="s">
        <v>397</v>
      </c>
      <c r="B18" s="4" t="s">
        <v>403</v>
      </c>
      <c r="C18" s="4" t="s">
        <v>404</v>
      </c>
      <c r="D18" s="4" t="s">
        <v>400</v>
      </c>
      <c r="E18" s="4" t="s">
        <v>405</v>
      </c>
      <c r="F18" s="4" t="s">
        <v>256</v>
      </c>
      <c r="G18" s="9"/>
      <c r="H18" s="8" t="s">
        <v>363</v>
      </c>
      <c r="I18" s="8" t="s">
        <v>406</v>
      </c>
      <c r="J18" s="8" t="s">
        <v>365</v>
      </c>
      <c r="K18" s="8" t="s">
        <v>366</v>
      </c>
      <c r="L18" s="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 t="s">
        <v>397</v>
      </c>
      <c r="B19" s="4" t="s">
        <v>407</v>
      </c>
      <c r="C19" s="4" t="s">
        <v>408</v>
      </c>
      <c r="D19" s="4" t="s">
        <v>400</v>
      </c>
      <c r="E19" s="4" t="s">
        <v>301</v>
      </c>
      <c r="F19" s="4" t="s">
        <v>268</v>
      </c>
      <c r="G19" s="9"/>
      <c r="H19" s="8" t="s">
        <v>363</v>
      </c>
      <c r="I19" s="8" t="s">
        <v>409</v>
      </c>
      <c r="J19" s="8" t="s">
        <v>365</v>
      </c>
      <c r="K19" s="8" t="s">
        <v>366</v>
      </c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 t="s">
        <v>397</v>
      </c>
      <c r="B20" s="4" t="s">
        <v>410</v>
      </c>
      <c r="C20" s="4" t="s">
        <v>411</v>
      </c>
      <c r="D20" s="4" t="s">
        <v>400</v>
      </c>
      <c r="E20" s="4" t="s">
        <v>412</v>
      </c>
      <c r="F20" s="4" t="s">
        <v>413</v>
      </c>
      <c r="G20" s="9"/>
      <c r="H20" s="8" t="s">
        <v>363</v>
      </c>
      <c r="I20" s="8" t="s">
        <v>414</v>
      </c>
      <c r="J20" s="8" t="s">
        <v>365</v>
      </c>
      <c r="K20" s="8" t="s">
        <v>366</v>
      </c>
      <c r="L20" s="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4" t="s">
        <v>397</v>
      </c>
      <c r="B21" s="4" t="s">
        <v>415</v>
      </c>
      <c r="C21" s="4" t="s">
        <v>416</v>
      </c>
      <c r="D21" s="4" t="s">
        <v>400</v>
      </c>
      <c r="E21" s="4" t="s">
        <v>301</v>
      </c>
      <c r="F21" s="4" t="s">
        <v>417</v>
      </c>
      <c r="G21" s="9"/>
      <c r="H21" s="8" t="s">
        <v>363</v>
      </c>
      <c r="I21" s="8" t="s">
        <v>418</v>
      </c>
      <c r="J21" s="8" t="s">
        <v>365</v>
      </c>
      <c r="K21" s="8" t="s">
        <v>366</v>
      </c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>
      <c r="A22" s="4" t="s">
        <v>397</v>
      </c>
      <c r="B22" s="4" t="s">
        <v>419</v>
      </c>
      <c r="C22" s="4" t="s">
        <v>420</v>
      </c>
      <c r="D22" s="4" t="s">
        <v>400</v>
      </c>
      <c r="E22" s="4" t="s">
        <v>421</v>
      </c>
      <c r="F22" s="4" t="s">
        <v>422</v>
      </c>
      <c r="G22" s="9"/>
      <c r="H22" s="8" t="s">
        <v>363</v>
      </c>
      <c r="I22" s="8" t="s">
        <v>423</v>
      </c>
      <c r="J22" s="8" t="s">
        <v>365</v>
      </c>
      <c r="K22" s="8" t="s">
        <v>366</v>
      </c>
      <c r="L22" s="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 t="s">
        <v>397</v>
      </c>
      <c r="B23" s="4" t="s">
        <v>424</v>
      </c>
      <c r="C23" s="4" t="s">
        <v>425</v>
      </c>
      <c r="D23" s="4" t="s">
        <v>400</v>
      </c>
      <c r="E23" s="4" t="s">
        <v>220</v>
      </c>
      <c r="F23" s="4" t="s">
        <v>426</v>
      </c>
      <c r="G23" s="9"/>
      <c r="H23" s="8" t="s">
        <v>363</v>
      </c>
      <c r="I23" s="8" t="s">
        <v>427</v>
      </c>
      <c r="J23" s="8" t="s">
        <v>365</v>
      </c>
      <c r="K23" s="8" t="s">
        <v>366</v>
      </c>
      <c r="L23" s="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 t="s">
        <v>397</v>
      </c>
      <c r="B24" s="4" t="s">
        <v>428</v>
      </c>
      <c r="C24" s="4" t="s">
        <v>313</v>
      </c>
      <c r="D24" s="4" t="s">
        <v>400</v>
      </c>
      <c r="E24" s="4" t="s">
        <v>429</v>
      </c>
      <c r="F24" s="4" t="s">
        <v>314</v>
      </c>
      <c r="G24" s="9"/>
      <c r="H24" s="8" t="s">
        <v>363</v>
      </c>
      <c r="I24" s="8" t="s">
        <v>430</v>
      </c>
      <c r="J24" s="8" t="s">
        <v>365</v>
      </c>
      <c r="K24" s="8" t="s">
        <v>366</v>
      </c>
      <c r="L24" s="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 t="s">
        <v>431</v>
      </c>
      <c r="B25" s="4" t="s">
        <v>432</v>
      </c>
      <c r="C25" s="4" t="s">
        <v>433</v>
      </c>
      <c r="D25" s="4" t="s">
        <v>362</v>
      </c>
      <c r="E25" s="4" t="s">
        <v>83</v>
      </c>
      <c r="F25" s="4" t="s">
        <v>434</v>
      </c>
      <c r="G25" s="9"/>
      <c r="H25" s="8" t="s">
        <v>363</v>
      </c>
      <c r="I25" s="8" t="s">
        <v>435</v>
      </c>
      <c r="J25" s="8" t="s">
        <v>365</v>
      </c>
      <c r="K25" s="8" t="s">
        <v>366</v>
      </c>
      <c r="L25" s="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 t="s">
        <v>431</v>
      </c>
      <c r="B26" s="4" t="s">
        <v>436</v>
      </c>
      <c r="C26" s="4" t="s">
        <v>437</v>
      </c>
      <c r="D26" s="4" t="s">
        <v>362</v>
      </c>
      <c r="E26" s="4" t="s">
        <v>35</v>
      </c>
      <c r="F26" s="4" t="s">
        <v>438</v>
      </c>
      <c r="G26" s="9"/>
      <c r="H26" s="8" t="s">
        <v>363</v>
      </c>
      <c r="I26" s="8" t="s">
        <v>435</v>
      </c>
      <c r="J26" s="8" t="s">
        <v>365</v>
      </c>
      <c r="K26" s="8" t="s">
        <v>366</v>
      </c>
      <c r="L26" s="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 t="s">
        <v>431</v>
      </c>
      <c r="B27" s="4" t="s">
        <v>439</v>
      </c>
      <c r="C27" s="4" t="s">
        <v>440</v>
      </c>
      <c r="D27" s="4" t="s">
        <v>362</v>
      </c>
      <c r="E27" s="4" t="s">
        <v>94</v>
      </c>
      <c r="F27" s="4" t="s">
        <v>441</v>
      </c>
      <c r="G27" s="9"/>
      <c r="H27" s="8" t="s">
        <v>363</v>
      </c>
      <c r="I27" s="8" t="s">
        <v>435</v>
      </c>
      <c r="J27" s="8" t="s">
        <v>365</v>
      </c>
      <c r="K27" s="8" t="s">
        <v>366</v>
      </c>
      <c r="L27" s="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 t="s">
        <v>431</v>
      </c>
      <c r="B28" s="4" t="s">
        <v>442</v>
      </c>
      <c r="C28" s="4" t="s">
        <v>443</v>
      </c>
      <c r="D28" s="4" t="s">
        <v>362</v>
      </c>
      <c r="E28" s="4" t="s">
        <v>94</v>
      </c>
      <c r="F28" s="4" t="s">
        <v>444</v>
      </c>
      <c r="G28" s="9"/>
      <c r="H28" s="8" t="s">
        <v>363</v>
      </c>
      <c r="I28" s="8" t="s">
        <v>435</v>
      </c>
      <c r="J28" s="8" t="s">
        <v>365</v>
      </c>
      <c r="K28" s="8" t="s">
        <v>366</v>
      </c>
      <c r="L28" s="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 t="s">
        <v>431</v>
      </c>
      <c r="B29" s="4" t="s">
        <v>445</v>
      </c>
      <c r="C29" s="4" t="s">
        <v>446</v>
      </c>
      <c r="D29" s="4" t="s">
        <v>362</v>
      </c>
      <c r="E29" s="4" t="s">
        <v>447</v>
      </c>
      <c r="F29" s="4" t="s">
        <v>448</v>
      </c>
      <c r="G29" s="9"/>
      <c r="H29" s="8" t="s">
        <v>363</v>
      </c>
      <c r="I29" s="8" t="s">
        <v>435</v>
      </c>
      <c r="J29" s="8" t="s">
        <v>365</v>
      </c>
      <c r="K29" s="8" t="s">
        <v>366</v>
      </c>
      <c r="L29" s="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 t="s">
        <v>431</v>
      </c>
      <c r="B30" s="4" t="s">
        <v>449</v>
      </c>
      <c r="C30" s="4" t="s">
        <v>450</v>
      </c>
      <c r="D30" s="4" t="s">
        <v>362</v>
      </c>
      <c r="E30" s="4" t="s">
        <v>35</v>
      </c>
      <c r="F30" s="4" t="s">
        <v>451</v>
      </c>
      <c r="G30" s="9"/>
      <c r="H30" s="8" t="s">
        <v>363</v>
      </c>
      <c r="I30" s="8" t="s">
        <v>435</v>
      </c>
      <c r="J30" s="8" t="s">
        <v>365</v>
      </c>
      <c r="K30" s="8" t="s">
        <v>366</v>
      </c>
      <c r="L30" s="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 t="s">
        <v>452</v>
      </c>
      <c r="B31" s="4" t="s">
        <v>453</v>
      </c>
      <c r="C31" s="4" t="s">
        <v>454</v>
      </c>
      <c r="D31" s="4" t="s">
        <v>362</v>
      </c>
      <c r="E31" s="4" t="s">
        <v>94</v>
      </c>
      <c r="F31" s="4" t="s">
        <v>36</v>
      </c>
      <c r="G31" s="9"/>
      <c r="H31" s="8" t="s">
        <v>363</v>
      </c>
      <c r="I31" s="8" t="s">
        <v>455</v>
      </c>
      <c r="J31" s="8" t="s">
        <v>365</v>
      </c>
      <c r="K31" s="8" t="s">
        <v>366</v>
      </c>
      <c r="L31" s="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>
      <c r="A32" s="4" t="s">
        <v>452</v>
      </c>
      <c r="B32" s="4" t="s">
        <v>456</v>
      </c>
      <c r="C32" s="4" t="s">
        <v>457</v>
      </c>
      <c r="D32" s="4" t="s">
        <v>362</v>
      </c>
      <c r="E32" s="4" t="s">
        <v>176</v>
      </c>
      <c r="F32" s="4" t="s">
        <v>105</v>
      </c>
      <c r="G32" s="9"/>
      <c r="H32" s="8" t="s">
        <v>363</v>
      </c>
      <c r="I32" s="8" t="s">
        <v>455</v>
      </c>
      <c r="J32" s="8" t="s">
        <v>365</v>
      </c>
      <c r="K32" s="8" t="s">
        <v>366</v>
      </c>
      <c r="L32" s="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 t="s">
        <v>452</v>
      </c>
      <c r="B33" s="4" t="s">
        <v>458</v>
      </c>
      <c r="C33" s="4" t="s">
        <v>459</v>
      </c>
      <c r="D33" s="4" t="s">
        <v>400</v>
      </c>
      <c r="E33" s="4" t="s">
        <v>69</v>
      </c>
      <c r="F33" s="4" t="s">
        <v>460</v>
      </c>
      <c r="G33" s="9"/>
      <c r="H33" s="8" t="s">
        <v>363</v>
      </c>
      <c r="I33" s="8" t="s">
        <v>455</v>
      </c>
      <c r="J33" s="8" t="s">
        <v>365</v>
      </c>
      <c r="K33" s="8" t="s">
        <v>366</v>
      </c>
      <c r="L33" s="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 t="s">
        <v>461</v>
      </c>
      <c r="B34" s="4" t="s">
        <v>462</v>
      </c>
      <c r="C34" s="4" t="s">
        <v>463</v>
      </c>
      <c r="D34" s="4" t="s">
        <v>362</v>
      </c>
      <c r="E34" s="4" t="s">
        <v>29</v>
      </c>
      <c r="F34" s="4" t="s">
        <v>464</v>
      </c>
      <c r="G34" s="9"/>
      <c r="H34" s="8" t="s">
        <v>363</v>
      </c>
      <c r="I34" s="8" t="s">
        <v>465</v>
      </c>
      <c r="J34" s="8" t="s">
        <v>365</v>
      </c>
      <c r="K34" s="8" t="s">
        <v>366</v>
      </c>
      <c r="L34" s="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 t="s">
        <v>461</v>
      </c>
      <c r="B35" s="4" t="s">
        <v>466</v>
      </c>
      <c r="C35" s="4" t="s">
        <v>467</v>
      </c>
      <c r="D35" s="4" t="s">
        <v>362</v>
      </c>
      <c r="E35" s="4" t="s">
        <v>163</v>
      </c>
      <c r="F35" s="4" t="s">
        <v>468</v>
      </c>
      <c r="G35" s="9"/>
      <c r="H35" s="8" t="s">
        <v>363</v>
      </c>
      <c r="I35" s="8" t="s">
        <v>465</v>
      </c>
      <c r="J35" s="8" t="s">
        <v>365</v>
      </c>
      <c r="K35" s="8" t="s">
        <v>366</v>
      </c>
      <c r="L35" s="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 t="s">
        <v>469</v>
      </c>
      <c r="B36" s="4" t="s">
        <v>470</v>
      </c>
      <c r="C36" s="4" t="s">
        <v>471</v>
      </c>
      <c r="D36" s="4" t="s">
        <v>362</v>
      </c>
      <c r="E36" s="4" t="s">
        <v>199</v>
      </c>
      <c r="F36" s="4" t="s">
        <v>472</v>
      </c>
      <c r="G36" s="9"/>
      <c r="H36" s="8" t="s">
        <v>363</v>
      </c>
      <c r="I36" s="8" t="s">
        <v>473</v>
      </c>
      <c r="J36" s="8" t="s">
        <v>365</v>
      </c>
      <c r="K36" s="8" t="s">
        <v>366</v>
      </c>
      <c r="L36" s="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 t="s">
        <v>469</v>
      </c>
      <c r="B37" s="4" t="s">
        <v>474</v>
      </c>
      <c r="C37" s="4" t="s">
        <v>475</v>
      </c>
      <c r="D37" s="4" t="s">
        <v>362</v>
      </c>
      <c r="E37" s="4" t="s">
        <v>69</v>
      </c>
      <c r="F37" s="4" t="s">
        <v>476</v>
      </c>
      <c r="G37" s="9"/>
      <c r="H37" s="8" t="s">
        <v>363</v>
      </c>
      <c r="I37" s="8" t="s">
        <v>473</v>
      </c>
      <c r="J37" s="8" t="s">
        <v>365</v>
      </c>
      <c r="K37" s="8" t="s">
        <v>366</v>
      </c>
      <c r="L37" s="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>
      <c r="A38" s="4" t="s">
        <v>469</v>
      </c>
      <c r="B38" s="4" t="s">
        <v>477</v>
      </c>
      <c r="C38" s="4" t="s">
        <v>478</v>
      </c>
      <c r="D38" s="4" t="s">
        <v>362</v>
      </c>
      <c r="E38" s="4" t="s">
        <v>479</v>
      </c>
      <c r="F38" s="4" t="s">
        <v>480</v>
      </c>
      <c r="G38" s="9"/>
      <c r="H38" s="8" t="s">
        <v>363</v>
      </c>
      <c r="I38" s="8" t="s">
        <v>473</v>
      </c>
      <c r="J38" s="8" t="s">
        <v>365</v>
      </c>
      <c r="K38" s="8" t="s">
        <v>366</v>
      </c>
      <c r="L38" s="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/>
      <c r="B39" s="4"/>
      <c r="C39" s="4"/>
      <c r="D39" s="4"/>
      <c r="E39" s="4"/>
      <c r="F39" s="4"/>
      <c r="G39" s="9"/>
      <c r="H39" s="8"/>
      <c r="I39" s="8"/>
      <c r="J39" s="8"/>
      <c r="K39" s="8"/>
      <c r="L39" s="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"/>
      <c r="B40" s="4"/>
      <c r="C40" s="4"/>
      <c r="D40" s="4"/>
      <c r="E40" s="4"/>
      <c r="F40" s="4"/>
      <c r="G40" s="9"/>
      <c r="H40" s="8"/>
      <c r="I40" s="8"/>
      <c r="J40" s="8"/>
      <c r="K40" s="8"/>
      <c r="L40" s="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"/>
      <c r="B41" s="4"/>
      <c r="C41" s="4"/>
      <c r="D41" s="4"/>
      <c r="E41" s="4"/>
      <c r="F41" s="4"/>
      <c r="G41" s="9"/>
      <c r="H41" s="8"/>
      <c r="I41" s="8"/>
      <c r="J41" s="8"/>
      <c r="K41" s="8"/>
      <c r="L41" s="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"/>
      <c r="B42" s="4"/>
      <c r="C42" s="4"/>
      <c r="D42" s="4"/>
      <c r="E42" s="4"/>
      <c r="F42" s="4"/>
      <c r="G42" s="9"/>
      <c r="H42" s="8"/>
      <c r="I42" s="8"/>
      <c r="J42" s="8"/>
      <c r="K42" s="8"/>
      <c r="L42" s="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"/>
      <c r="B43" s="4"/>
      <c r="C43" s="4"/>
      <c r="D43" s="4"/>
      <c r="E43" s="4"/>
      <c r="F43" s="4"/>
      <c r="G43" s="9"/>
      <c r="H43" s="8"/>
      <c r="I43" s="8"/>
      <c r="J43" s="8"/>
      <c r="K43" s="8"/>
      <c r="L43" s="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4"/>
      <c r="B44" s="4"/>
      <c r="C44" s="4"/>
      <c r="D44" s="4"/>
      <c r="E44" s="4"/>
      <c r="F44" s="4"/>
      <c r="G44" s="9"/>
      <c r="H44" s="8"/>
      <c r="I44" s="8"/>
      <c r="J44" s="8"/>
      <c r="K44" s="8"/>
      <c r="L44" s="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"/>
      <c r="B45" s="4"/>
      <c r="C45" s="4"/>
      <c r="D45" s="4"/>
      <c r="E45" s="4"/>
      <c r="F45" s="4"/>
      <c r="G45" s="9"/>
      <c r="H45" s="8"/>
      <c r="I45" s="8"/>
      <c r="J45" s="8"/>
      <c r="K45" s="8"/>
      <c r="L45" s="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"/>
      <c r="B46" s="4"/>
      <c r="C46" s="4"/>
      <c r="D46" s="4"/>
      <c r="E46" s="4"/>
      <c r="F46" s="4"/>
      <c r="G46" s="9"/>
      <c r="H46" s="8"/>
      <c r="I46" s="8"/>
      <c r="J46" s="8"/>
      <c r="K46" s="8"/>
      <c r="L46" s="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"/>
      <c r="B47" s="4"/>
      <c r="C47" s="4"/>
      <c r="D47" s="4"/>
      <c r="E47" s="4"/>
      <c r="F47" s="4"/>
      <c r="G47" s="9"/>
      <c r="H47" s="8"/>
      <c r="I47" s="8"/>
      <c r="J47" s="8"/>
      <c r="K47" s="8"/>
      <c r="L47" s="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"/>
      <c r="B48" s="4"/>
      <c r="C48" s="4"/>
      <c r="D48" s="4"/>
      <c r="E48" s="4"/>
      <c r="F48" s="4"/>
      <c r="G48" s="9"/>
      <c r="H48" s="8"/>
      <c r="I48" s="8"/>
      <c r="J48" s="8"/>
      <c r="K48" s="8"/>
      <c r="L48" s="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"/>
      <c r="B49" s="4"/>
      <c r="C49" s="4"/>
      <c r="D49" s="4"/>
      <c r="E49" s="4"/>
      <c r="F49" s="4"/>
      <c r="G49" s="9"/>
      <c r="H49" s="8"/>
      <c r="I49" s="8"/>
      <c r="J49" s="8"/>
      <c r="K49" s="8"/>
      <c r="L49" s="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"/>
      <c r="B50" s="4"/>
      <c r="C50" s="4"/>
      <c r="D50" s="4"/>
      <c r="E50" s="4"/>
      <c r="F50" s="4"/>
      <c r="G50" s="9"/>
      <c r="H50" s="8"/>
      <c r="I50" s="8"/>
      <c r="J50" s="8"/>
      <c r="K50" s="8"/>
      <c r="L50" s="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"/>
      <c r="B51" s="4"/>
      <c r="C51" s="4"/>
      <c r="D51" s="4"/>
      <c r="E51" s="4"/>
      <c r="F51" s="4"/>
      <c r="G51" s="9"/>
      <c r="H51" s="8"/>
      <c r="I51" s="8"/>
      <c r="J51" s="8"/>
      <c r="K51" s="8"/>
      <c r="L51" s="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"/>
      <c r="B52" s="4"/>
      <c r="C52" s="4"/>
      <c r="D52" s="4"/>
      <c r="E52" s="4"/>
      <c r="F52" s="4"/>
      <c r="G52" s="9"/>
      <c r="H52" s="8"/>
      <c r="I52" s="8"/>
      <c r="J52" s="8"/>
      <c r="K52" s="8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4"/>
      <c r="B53" s="4"/>
      <c r="C53" s="4"/>
      <c r="D53" s="4"/>
      <c r="E53" s="4"/>
      <c r="F53" s="4"/>
      <c r="G53" s="9"/>
      <c r="H53" s="8"/>
      <c r="I53" s="8"/>
      <c r="J53" s="8"/>
      <c r="K53" s="8"/>
      <c r="L53" s="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4"/>
      <c r="B54" s="4"/>
      <c r="C54" s="4"/>
      <c r="D54" s="4"/>
      <c r="E54" s="4"/>
      <c r="F54" s="4"/>
      <c r="G54" s="9"/>
      <c r="H54" s="8"/>
      <c r="I54" s="8"/>
      <c r="J54" s="8"/>
      <c r="K54" s="8"/>
      <c r="L54" s="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4"/>
      <c r="B55" s="4"/>
      <c r="C55" s="4"/>
      <c r="D55" s="4"/>
      <c r="E55" s="4"/>
      <c r="F55" s="4"/>
      <c r="G55" s="9"/>
      <c r="H55" s="8"/>
      <c r="I55" s="8"/>
      <c r="J55" s="8"/>
      <c r="K55" s="8"/>
      <c r="L55" s="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4"/>
      <c r="B56" s="4"/>
      <c r="C56" s="4"/>
      <c r="D56" s="4"/>
      <c r="E56" s="4"/>
      <c r="F56" s="4"/>
      <c r="G56" s="9"/>
      <c r="H56" s="8"/>
      <c r="I56" s="8"/>
      <c r="J56" s="8"/>
      <c r="K56" s="8"/>
      <c r="L56" s="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4"/>
      <c r="B57" s="4"/>
      <c r="C57" s="4"/>
      <c r="D57" s="4"/>
      <c r="E57" s="4"/>
      <c r="F57" s="4"/>
      <c r="G57" s="9"/>
      <c r="H57" s="8"/>
      <c r="I57" s="8"/>
      <c r="J57" s="8"/>
      <c r="K57" s="8"/>
      <c r="L57" s="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4"/>
      <c r="B58" s="4"/>
      <c r="C58" s="4"/>
      <c r="D58" s="4"/>
      <c r="E58" s="4"/>
      <c r="F58" s="4"/>
      <c r="G58" s="9"/>
      <c r="H58" s="8"/>
      <c r="I58" s="8"/>
      <c r="J58" s="8"/>
      <c r="K58" s="8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4"/>
      <c r="B59" s="4"/>
      <c r="C59" s="4"/>
      <c r="D59" s="4"/>
      <c r="E59" s="4"/>
      <c r="F59" s="4"/>
      <c r="G59" s="9"/>
      <c r="H59" s="8"/>
      <c r="I59" s="8"/>
      <c r="J59" s="8"/>
      <c r="K59" s="8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4"/>
      <c r="B60" s="4"/>
      <c r="C60" s="4"/>
      <c r="D60" s="4"/>
      <c r="E60" s="4"/>
      <c r="F60" s="4"/>
      <c r="G60" s="9"/>
      <c r="H60" s="8"/>
      <c r="I60" s="8"/>
      <c r="J60" s="8"/>
      <c r="K60" s="8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4"/>
      <c r="B61" s="4"/>
      <c r="C61" s="4"/>
      <c r="D61" s="4"/>
      <c r="E61" s="4"/>
      <c r="F61" s="4"/>
      <c r="G61" s="9"/>
      <c r="H61" s="8"/>
      <c r="I61" s="8"/>
      <c r="J61" s="8"/>
      <c r="K61" s="8"/>
      <c r="L61" s="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4"/>
      <c r="B62" s="4"/>
      <c r="C62" s="4"/>
      <c r="D62" s="4"/>
      <c r="E62" s="4"/>
      <c r="F62" s="4"/>
      <c r="G62" s="9"/>
      <c r="H62" s="8"/>
      <c r="I62" s="8"/>
      <c r="J62" s="8"/>
      <c r="K62" s="8"/>
      <c r="L62" s="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4"/>
      <c r="B63" s="4"/>
      <c r="C63" s="4"/>
      <c r="D63" s="4"/>
      <c r="E63" s="4"/>
      <c r="F63" s="4"/>
      <c r="G63" s="9"/>
      <c r="H63" s="8"/>
      <c r="I63" s="8"/>
      <c r="J63" s="8"/>
      <c r="K63" s="8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4"/>
      <c r="B64" s="4"/>
      <c r="C64" s="4"/>
      <c r="D64" s="4"/>
      <c r="E64" s="4"/>
      <c r="F64" s="4"/>
      <c r="G64" s="9"/>
      <c r="H64" s="8"/>
      <c r="I64" s="8"/>
      <c r="J64" s="8"/>
      <c r="K64" s="8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4"/>
      <c r="B65" s="4"/>
      <c r="C65" s="4"/>
      <c r="D65" s="4"/>
      <c r="E65" s="4"/>
      <c r="F65" s="4"/>
      <c r="G65" s="9"/>
      <c r="H65" s="8"/>
      <c r="I65" s="8"/>
      <c r="J65" s="8"/>
      <c r="K65" s="8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4"/>
      <c r="B66" s="4"/>
      <c r="C66" s="4"/>
      <c r="D66" s="4"/>
      <c r="E66" s="4"/>
      <c r="F66" s="4"/>
      <c r="G66" s="9"/>
      <c r="H66" s="8"/>
      <c r="I66" s="8"/>
      <c r="J66" s="8"/>
      <c r="K66" s="8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4"/>
      <c r="B67" s="4"/>
      <c r="C67" s="4"/>
      <c r="D67" s="4"/>
      <c r="E67" s="4"/>
      <c r="F67" s="4"/>
      <c r="G67" s="9"/>
      <c r="H67" s="8"/>
      <c r="I67" s="8"/>
      <c r="J67" s="8"/>
      <c r="K67" s="8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4"/>
      <c r="B68" s="4"/>
      <c r="C68" s="4"/>
      <c r="D68" s="4"/>
      <c r="E68" s="4"/>
      <c r="F68" s="4"/>
      <c r="G68" s="9"/>
      <c r="H68" s="8"/>
      <c r="I68" s="8"/>
      <c r="J68" s="8"/>
      <c r="K68" s="8"/>
      <c r="L68" s="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4"/>
      <c r="B69" s="4"/>
      <c r="C69" s="4"/>
      <c r="D69" s="4"/>
      <c r="E69" s="4"/>
      <c r="F69" s="4"/>
      <c r="G69" s="9"/>
      <c r="H69" s="8"/>
      <c r="I69" s="8"/>
      <c r="J69" s="8"/>
      <c r="K69" s="8"/>
      <c r="L69" s="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4"/>
      <c r="B70" s="4"/>
      <c r="C70" s="4"/>
      <c r="D70" s="4"/>
      <c r="E70" s="4"/>
      <c r="F70" s="4"/>
      <c r="G70" s="9"/>
      <c r="H70" s="8"/>
      <c r="I70" s="8"/>
      <c r="J70" s="8"/>
      <c r="K70" s="8"/>
      <c r="L70" s="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4"/>
      <c r="B71" s="4"/>
      <c r="C71" s="4"/>
      <c r="D71" s="4"/>
      <c r="E71" s="4"/>
      <c r="F71" s="4"/>
      <c r="G71" s="9"/>
      <c r="H71" s="8"/>
      <c r="I71" s="8"/>
      <c r="J71" s="8"/>
      <c r="K71" s="8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4"/>
      <c r="B72" s="4"/>
      <c r="C72" s="4"/>
      <c r="D72" s="4"/>
      <c r="E72" s="4"/>
      <c r="F72" s="4"/>
      <c r="G72" s="9"/>
      <c r="H72" s="8"/>
      <c r="I72" s="8"/>
      <c r="J72" s="8"/>
      <c r="K72" s="8"/>
      <c r="L72" s="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4"/>
      <c r="B73" s="4"/>
      <c r="C73" s="4"/>
      <c r="D73" s="4"/>
      <c r="E73" s="4"/>
      <c r="F73" s="4"/>
      <c r="G73" s="9"/>
      <c r="H73" s="8"/>
      <c r="I73" s="8"/>
      <c r="J73" s="8"/>
      <c r="K73" s="8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4"/>
      <c r="B74" s="4"/>
      <c r="C74" s="4"/>
      <c r="D74" s="4"/>
      <c r="E74" s="4"/>
      <c r="F74" s="4"/>
      <c r="G74" s="9"/>
      <c r="H74" s="8"/>
      <c r="I74" s="8"/>
      <c r="J74" s="8"/>
      <c r="K74" s="8"/>
      <c r="L74" s="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4"/>
      <c r="B75" s="4"/>
      <c r="C75" s="4"/>
      <c r="D75" s="4"/>
      <c r="E75" s="4"/>
      <c r="F75" s="4"/>
      <c r="G75" s="9"/>
      <c r="H75" s="8"/>
      <c r="I75" s="8"/>
      <c r="J75" s="8"/>
      <c r="K75" s="8"/>
      <c r="L75" s="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4"/>
      <c r="B76" s="4"/>
      <c r="C76" s="4"/>
      <c r="D76" s="4"/>
      <c r="E76" s="4"/>
      <c r="F76" s="4"/>
      <c r="G76" s="9"/>
      <c r="H76" s="8"/>
      <c r="I76" s="8"/>
      <c r="J76" s="8"/>
      <c r="K76" s="8"/>
      <c r="L76" s="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4"/>
      <c r="B77" s="4"/>
      <c r="C77" s="4"/>
      <c r="D77" s="4"/>
      <c r="E77" s="4"/>
      <c r="F77" s="4"/>
      <c r="G77" s="9"/>
      <c r="H77" s="8"/>
      <c r="I77" s="8"/>
      <c r="J77" s="8"/>
      <c r="K77" s="8"/>
      <c r="L77" s="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4"/>
      <c r="B78" s="4"/>
      <c r="C78" s="4"/>
      <c r="D78" s="4"/>
      <c r="E78" s="4"/>
      <c r="F78" s="4"/>
      <c r="G78" s="9"/>
      <c r="H78" s="8"/>
      <c r="I78" s="8"/>
      <c r="J78" s="8"/>
      <c r="K78" s="8"/>
      <c r="L78" s="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4"/>
      <c r="B79" s="4"/>
      <c r="C79" s="4"/>
      <c r="D79" s="4"/>
      <c r="E79" s="4"/>
      <c r="F79" s="4"/>
      <c r="G79" s="9"/>
      <c r="H79" s="8"/>
      <c r="I79" s="8"/>
      <c r="J79" s="8"/>
      <c r="K79" s="8"/>
      <c r="L79" s="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4"/>
      <c r="B80" s="4"/>
      <c r="C80" s="4"/>
      <c r="D80" s="4"/>
      <c r="E80" s="4"/>
      <c r="F80" s="4"/>
      <c r="G80" s="9"/>
      <c r="H80" s="8"/>
      <c r="I80" s="8"/>
      <c r="J80" s="8"/>
      <c r="K80" s="8"/>
      <c r="L80" s="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4"/>
      <c r="B81" s="4"/>
      <c r="C81" s="4"/>
      <c r="D81" s="4"/>
      <c r="E81" s="4"/>
      <c r="F81" s="4"/>
      <c r="G81" s="9"/>
      <c r="H81" s="8"/>
      <c r="I81" s="8"/>
      <c r="J81" s="8"/>
      <c r="K81" s="8"/>
      <c r="L81" s="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4"/>
      <c r="B82" s="4"/>
      <c r="C82" s="4"/>
      <c r="D82" s="4"/>
      <c r="E82" s="4"/>
      <c r="F82" s="4"/>
      <c r="G82" s="9"/>
      <c r="H82" s="8"/>
      <c r="I82" s="8"/>
      <c r="J82" s="8"/>
      <c r="K82" s="8"/>
      <c r="L82" s="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4"/>
      <c r="B83" s="4"/>
      <c r="C83" s="4"/>
      <c r="D83" s="4"/>
      <c r="E83" s="4"/>
      <c r="F83" s="4"/>
      <c r="G83" s="9"/>
      <c r="H83" s="8"/>
      <c r="I83" s="8"/>
      <c r="J83" s="8"/>
      <c r="K83" s="8"/>
      <c r="L83" s="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4"/>
      <c r="B84" s="4"/>
      <c r="C84" s="4"/>
      <c r="D84" s="4"/>
      <c r="E84" s="4"/>
      <c r="F84" s="4"/>
      <c r="G84" s="9"/>
      <c r="H84" s="8"/>
      <c r="I84" s="8"/>
      <c r="J84" s="8"/>
      <c r="K84" s="8"/>
      <c r="L84" s="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4"/>
      <c r="B85" s="4"/>
      <c r="C85" s="4"/>
      <c r="D85" s="4"/>
      <c r="E85" s="4"/>
      <c r="F85" s="4"/>
      <c r="G85" s="9"/>
      <c r="H85" s="8"/>
      <c r="I85" s="8"/>
      <c r="J85" s="8"/>
      <c r="K85" s="8"/>
      <c r="L85" s="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4"/>
      <c r="B86" s="4"/>
      <c r="C86" s="4"/>
      <c r="D86" s="4"/>
      <c r="E86" s="4"/>
      <c r="F86" s="4"/>
      <c r="G86" s="9"/>
      <c r="H86" s="8"/>
      <c r="I86" s="8"/>
      <c r="J86" s="8"/>
      <c r="K86" s="8"/>
      <c r="L86" s="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4"/>
      <c r="B87" s="4"/>
      <c r="C87" s="4"/>
      <c r="D87" s="4"/>
      <c r="E87" s="4"/>
      <c r="F87" s="4"/>
      <c r="G87" s="9"/>
      <c r="H87" s="8"/>
      <c r="I87" s="8"/>
      <c r="J87" s="8"/>
      <c r="K87" s="8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4"/>
      <c r="B88" s="4"/>
      <c r="C88" s="4"/>
      <c r="D88" s="4"/>
      <c r="E88" s="4"/>
      <c r="F88" s="4"/>
      <c r="G88" s="9"/>
      <c r="H88" s="8"/>
      <c r="I88" s="8"/>
      <c r="J88" s="8"/>
      <c r="K88" s="8"/>
      <c r="L88" s="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4"/>
      <c r="B89" s="4"/>
      <c r="C89" s="4"/>
      <c r="D89" s="4"/>
      <c r="E89" s="4"/>
      <c r="F89" s="4"/>
      <c r="G89" s="9"/>
      <c r="H89" s="8"/>
      <c r="I89" s="8"/>
      <c r="J89" s="8"/>
      <c r="K89" s="8"/>
      <c r="L89" s="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4"/>
      <c r="B90" s="4"/>
      <c r="C90" s="4"/>
      <c r="D90" s="4"/>
      <c r="E90" s="4"/>
      <c r="F90" s="4"/>
      <c r="G90" s="9"/>
      <c r="H90" s="8"/>
      <c r="I90" s="8"/>
      <c r="J90" s="8"/>
      <c r="K90" s="8"/>
      <c r="L90" s="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4"/>
      <c r="B91" s="4"/>
      <c r="C91" s="4"/>
      <c r="D91" s="4"/>
      <c r="E91" s="4"/>
      <c r="F91" s="4"/>
      <c r="G91" s="9"/>
      <c r="H91" s="8"/>
      <c r="I91" s="8"/>
      <c r="J91" s="8"/>
      <c r="K91" s="8"/>
      <c r="L91" s="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4"/>
      <c r="B92" s="4"/>
      <c r="C92" s="4"/>
      <c r="D92" s="4"/>
      <c r="E92" s="4"/>
      <c r="F92" s="4"/>
      <c r="G92" s="9"/>
      <c r="H92" s="8"/>
      <c r="I92" s="8"/>
      <c r="J92" s="8"/>
      <c r="K92" s="8"/>
      <c r="L92" s="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4"/>
      <c r="B93" s="4"/>
      <c r="C93" s="4"/>
      <c r="D93" s="4"/>
      <c r="E93" s="4"/>
      <c r="F93" s="4"/>
      <c r="G93" s="9"/>
      <c r="H93" s="8"/>
      <c r="I93" s="8"/>
      <c r="J93" s="8"/>
      <c r="K93" s="8"/>
      <c r="L93" s="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4"/>
      <c r="B94" s="4"/>
      <c r="C94" s="4"/>
      <c r="D94" s="4"/>
      <c r="E94" s="4"/>
      <c r="F94" s="4"/>
      <c r="G94" s="9"/>
      <c r="H94" s="8"/>
      <c r="I94" s="8"/>
      <c r="J94" s="8"/>
      <c r="K94" s="8"/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4"/>
      <c r="B95" s="4"/>
      <c r="C95" s="4"/>
      <c r="D95" s="4"/>
      <c r="E95" s="4"/>
      <c r="F95" s="4"/>
      <c r="G95" s="9"/>
      <c r="H95" s="8"/>
      <c r="I95" s="8"/>
      <c r="J95" s="8"/>
      <c r="K95" s="8"/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4"/>
      <c r="B96" s="4"/>
      <c r="C96" s="4"/>
      <c r="D96" s="4"/>
      <c r="E96" s="4"/>
      <c r="F96" s="4"/>
      <c r="G96" s="9"/>
      <c r="H96" s="8"/>
      <c r="I96" s="8"/>
      <c r="J96" s="8"/>
      <c r="K96" s="8"/>
      <c r="L96" s="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4"/>
      <c r="B97" s="4"/>
      <c r="C97" s="4"/>
      <c r="D97" s="4"/>
      <c r="E97" s="4"/>
      <c r="F97" s="4"/>
      <c r="G97" s="9"/>
      <c r="H97" s="8"/>
      <c r="I97" s="8"/>
      <c r="J97" s="8"/>
      <c r="K97" s="8"/>
      <c r="L97" s="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4"/>
      <c r="B98" s="4"/>
      <c r="C98" s="4"/>
      <c r="D98" s="4"/>
      <c r="E98" s="4"/>
      <c r="F98" s="4"/>
      <c r="G98" s="9"/>
      <c r="H98" s="8"/>
      <c r="I98" s="8"/>
      <c r="J98" s="8"/>
      <c r="K98" s="8"/>
      <c r="L98" s="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4"/>
      <c r="B99" s="4"/>
      <c r="C99" s="4"/>
      <c r="D99" s="4"/>
      <c r="E99" s="4"/>
      <c r="F99" s="4"/>
      <c r="G99" s="9"/>
      <c r="H99" s="8"/>
      <c r="I99" s="8"/>
      <c r="J99" s="8"/>
      <c r="K99" s="8"/>
      <c r="L99" s="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4"/>
      <c r="B100" s="4"/>
      <c r="C100" s="4"/>
      <c r="D100" s="4"/>
      <c r="E100" s="4"/>
      <c r="F100" s="4"/>
      <c r="G100" s="9"/>
      <c r="H100" s="8"/>
      <c r="I100" s="8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4"/>
      <c r="B101" s="4"/>
      <c r="C101" s="4"/>
      <c r="D101" s="4"/>
      <c r="E101" s="4"/>
      <c r="F101" s="4"/>
      <c r="G101" s="9"/>
      <c r="H101" s="8"/>
      <c r="I101" s="8"/>
      <c r="J101" s="8"/>
      <c r="K101" s="8"/>
      <c r="L101" s="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4"/>
      <c r="B102" s="4"/>
      <c r="C102" s="4"/>
      <c r="D102" s="4"/>
      <c r="E102" s="4"/>
      <c r="F102" s="4"/>
      <c r="G102" s="9"/>
      <c r="H102" s="8"/>
      <c r="I102" s="8"/>
      <c r="J102" s="8"/>
      <c r="K102" s="8"/>
      <c r="L102" s="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4"/>
      <c r="B103" s="4"/>
      <c r="C103" s="4"/>
      <c r="D103" s="4"/>
      <c r="E103" s="4"/>
      <c r="F103" s="4"/>
      <c r="G103" s="9"/>
      <c r="H103" s="8"/>
      <c r="I103" s="8"/>
      <c r="J103" s="8"/>
      <c r="K103" s="8"/>
      <c r="L103" s="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4"/>
      <c r="B104" s="4"/>
      <c r="C104" s="4"/>
      <c r="D104" s="4"/>
      <c r="E104" s="4"/>
      <c r="F104" s="4"/>
      <c r="G104" s="9"/>
      <c r="H104" s="8"/>
      <c r="I104" s="8"/>
      <c r="J104" s="8"/>
      <c r="K104" s="8"/>
      <c r="L104" s="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4"/>
      <c r="B105" s="4"/>
      <c r="C105" s="4"/>
      <c r="D105" s="4"/>
      <c r="E105" s="4"/>
      <c r="F105" s="4"/>
      <c r="G105" s="9"/>
      <c r="H105" s="8"/>
      <c r="I105" s="8"/>
      <c r="J105" s="8"/>
      <c r="K105" s="8"/>
      <c r="L105" s="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4"/>
      <c r="B106" s="4"/>
      <c r="C106" s="4"/>
      <c r="D106" s="4"/>
      <c r="E106" s="4"/>
      <c r="F106" s="4"/>
      <c r="G106" s="9"/>
      <c r="H106" s="8"/>
      <c r="I106" s="8"/>
      <c r="J106" s="8"/>
      <c r="K106" s="8"/>
      <c r="L106" s="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2:L2"/>
    <mergeCell ref="A3:L3"/>
  </mergeCells>
  <conditionalFormatting sqref="J7:J106">
    <cfRule type="containsText" dxfId="1" priority="1" operator="containsText" text="Pendiente"/>
    <cfRule type="containsText" dxfId="0" priority="2" operator="containsText" text="Completo"/>
  </conditionalFormatting>
  <dataValidations count="3">
    <dataValidation type="list" sqref="D7:D106" xr:uid="{00000000-0002-0000-0400-000000000000}">
      <formula1>"Sí,Según caso,No"</formula1>
    </dataValidation>
    <dataValidation type="list" sqref="J7:J106" xr:uid="{00000000-0002-0000-0400-000001000000}">
      <formula1>"Pendiente,Incompleto,Completo,No aplica"</formula1>
    </dataValidation>
    <dataValidation type="list" sqref="K7:K106" xr:uid="{00000000-0002-0000-0400-000002000000}">
      <formula1>"Sin revisar,Con observación,Validado"</formula1>
    </dataValidation>
  </dataValidations>
  <pageMargins left="0.7" right="0.7" top="0.75" bottom="0.75" header="0.3" footer="0.3"/>
  <headerFooter>
    <oddFooter>&amp;L_x000D_&amp;1#&amp;"Aptos"&amp;10&amp;K000000 Información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Seguimiento proceso</vt:lpstr>
      <vt:lpstr>Indicadores</vt:lpstr>
      <vt:lpstr>Recaudo información</vt:lpstr>
      <vt:lpstr>Expediente único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Tania Marcela Suarez Ortiz</cp:lastModifiedBy>
  <dcterms:created xsi:type="dcterms:W3CDTF">2026-09-21T03:33:37Z</dcterms:created>
  <dcterms:modified xsi:type="dcterms:W3CDTF">2026-09-22T00:23:46Z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b7c6c0-63aa-4c48-857c-972cf4a47d5d_Enabled">
    <vt:lpwstr>true</vt:lpwstr>
  </property>
  <property fmtid="{D5CDD505-2E9C-101B-9397-08002B2CF9AE}" pid="3" name="MSIP_Label_a4b7c6c0-63aa-4c48-857c-972cf4a47d5d_SetDate">
    <vt:lpwstr>2026-09-21T03:33:23Z</vt:lpwstr>
  </property>
  <property fmtid="{D5CDD505-2E9C-101B-9397-08002B2CF9AE}" pid="4" name="MSIP_Label_a4b7c6c0-63aa-4c48-857c-972cf4a47d5d_Method">
    <vt:lpwstr>Standard</vt:lpwstr>
  </property>
  <property fmtid="{D5CDD505-2E9C-101B-9397-08002B2CF9AE}" pid="5" name="MSIP_Label_a4b7c6c0-63aa-4c48-857c-972cf4a47d5d_Name">
    <vt:lpwstr>defa4170-0d19-0005-0001-bc88714345d2</vt:lpwstr>
  </property>
  <property fmtid="{D5CDD505-2E9C-101B-9397-08002B2CF9AE}" pid="6" name="MSIP_Label_a4b7c6c0-63aa-4c48-857c-972cf4a47d5d_SiteId">
    <vt:lpwstr>33fa6907-21c6-4126-aa66-bcbed95361bb</vt:lpwstr>
  </property>
  <property fmtid="{D5CDD505-2E9C-101B-9397-08002B2CF9AE}" pid="7" name="MSIP_Label_a4b7c6c0-63aa-4c48-857c-972cf4a47d5d_ActionId">
    <vt:lpwstr>b43d5aa0-71b3-48dc-a80d-4d7aa0cad256</vt:lpwstr>
  </property>
  <property fmtid="{D5CDD505-2E9C-101B-9397-08002B2CF9AE}" pid="8" name="MSIP_Label_a4b7c6c0-63aa-4c48-857c-972cf4a47d5d_ContentBits">
    <vt:lpwstr>2</vt:lpwstr>
  </property>
  <property fmtid="{D5CDD505-2E9C-101B-9397-08002B2CF9AE}" pid="9" name="MSIP_Label_a4b7c6c0-63aa-4c48-857c-972cf4a47d5d_Tag">
    <vt:lpwstr>10, 3, 0, 1</vt:lpwstr>
  </property>
</Properties>
</file>